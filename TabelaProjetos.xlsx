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l\Documents\Mestrado\Controle Preditivo\wpp\simulador_projetos\"/>
    </mc:Choice>
  </mc:AlternateContent>
  <xr:revisionPtr revIDLastSave="0" documentId="13_ncr:1_{E2FCA7EE-C6F9-46DD-9C39-0F45AED0D9C8}" xr6:coauthVersionLast="47" xr6:coauthVersionMax="47" xr10:uidLastSave="{00000000-0000-0000-0000-000000000000}"/>
  <bookViews>
    <workbookView xWindow="-120" yWindow="-120" windowWidth="29040" windowHeight="15840" activeTab="4" xr2:uid="{A7CC8E1A-EC12-4A9C-BA80-6AACD1CD2892}"/>
  </bookViews>
  <sheets>
    <sheet name="Definicoes" sheetId="4" r:id="rId1"/>
    <sheet name="Projeto" sheetId="3" r:id="rId2"/>
    <sheet name="Equipe" sheetId="2" r:id="rId3"/>
    <sheet name="AlocacaoEquipe" sheetId="5" r:id="rId4"/>
    <sheet name="Atividades" sheetId="1" r:id="rId5"/>
  </sheets>
  <definedNames>
    <definedName name="_xlnm._FilterDatabase" localSheetId="3" hidden="1">AlocacaoEquipe!$A$1:$D$36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2" l="1"/>
  <c r="K3" i="3"/>
  <c r="M3" i="1"/>
  <c r="M4" i="1" s="1"/>
  <c r="M5" i="1" s="1"/>
  <c r="M6" i="1" s="1"/>
  <c r="M7" i="1" s="1"/>
  <c r="M8" i="1" s="1"/>
  <c r="M9" i="1" s="1"/>
  <c r="L3" i="1"/>
  <c r="L4" i="1" s="1"/>
  <c r="L5" i="1" s="1"/>
  <c r="L6" i="1" s="1"/>
  <c r="L7" i="1" s="1"/>
  <c r="L8" i="1" s="1"/>
  <c r="L9" i="1" s="1"/>
  <c r="K3" i="1"/>
  <c r="K4" i="1" s="1"/>
  <c r="K5" i="1" s="1"/>
  <c r="K6" i="1" s="1"/>
  <c r="K7" i="1" s="1"/>
  <c r="K8" i="1" s="1"/>
  <c r="K9" i="1" s="1"/>
  <c r="J3" i="1"/>
  <c r="J4" i="1" s="1"/>
  <c r="J5" i="1" s="1"/>
  <c r="J6" i="1" s="1"/>
  <c r="J7" i="1" s="1"/>
  <c r="J8" i="1" s="1"/>
  <c r="J9" i="1" s="1"/>
  <c r="H3" i="1"/>
  <c r="H4" i="1"/>
  <c r="H2" i="1"/>
  <c r="S3" i="1"/>
  <c r="S4" i="1" s="1"/>
  <c r="S5" i="1" s="1"/>
  <c r="S6" i="1" s="1"/>
  <c r="S7" i="1" s="1"/>
  <c r="S8" i="1" s="1"/>
  <c r="S9" i="1" s="1"/>
  <c r="R3" i="1"/>
  <c r="R4" i="1" s="1"/>
  <c r="R5" i="1" s="1"/>
  <c r="R6" i="1" s="1"/>
  <c r="R7" i="1" s="1"/>
  <c r="R8" i="1" s="1"/>
  <c r="R9" i="1" s="1"/>
  <c r="T3" i="1"/>
  <c r="T4" i="1" s="1"/>
  <c r="T5" i="1" s="1"/>
  <c r="T6" i="1" s="1"/>
  <c r="T7" i="1" s="1"/>
  <c r="T8" i="1" s="1"/>
  <c r="T9" i="1" s="1"/>
  <c r="I3" i="1"/>
  <c r="I4" i="1"/>
  <c r="I5" i="1"/>
  <c r="I6" i="1"/>
  <c r="I7" i="1"/>
  <c r="I8" i="1"/>
  <c r="I9" i="1"/>
  <c r="I2" i="1"/>
  <c r="G2" i="2"/>
  <c r="Q2" i="2"/>
  <c r="O2" i="2"/>
  <c r="F2" i="3"/>
  <c r="L1" i="5"/>
  <c r="O3" i="2"/>
  <c r="O4" i="2"/>
  <c r="O5" i="2"/>
  <c r="O6" i="2"/>
  <c r="O7" i="2"/>
  <c r="O8" i="2"/>
  <c r="O9" i="2"/>
  <c r="O10" i="2"/>
  <c r="M6" i="2"/>
  <c r="G6" i="2" s="1"/>
  <c r="M5" i="2"/>
  <c r="G5" i="2" s="1"/>
  <c r="E5" i="5" s="1"/>
  <c r="M4" i="2"/>
  <c r="G4" i="2" s="1"/>
  <c r="E4" i="5" s="1"/>
  <c r="F5" i="1"/>
  <c r="G5" i="1" s="1"/>
  <c r="E2" i="3"/>
  <c r="M3" i="2" s="1"/>
  <c r="G3" i="2" s="1"/>
  <c r="E3" i="3"/>
  <c r="F3" i="3" s="1"/>
  <c r="O11" i="2"/>
  <c r="O12" i="2"/>
  <c r="O13" i="2"/>
  <c r="O14" i="2"/>
  <c r="O15" i="2"/>
  <c r="O16" i="2"/>
  <c r="O17" i="2"/>
  <c r="O18" i="2"/>
  <c r="A34" i="5"/>
  <c r="A35" i="5" s="1"/>
  <c r="A36" i="5" s="1"/>
  <c r="A30" i="5"/>
  <c r="A31" i="5" s="1"/>
  <c r="A32" i="5" s="1"/>
  <c r="A20" i="5"/>
  <c r="A21" i="5" s="1"/>
  <c r="A22" i="5" s="1"/>
  <c r="A23" i="5" s="1"/>
  <c r="A24" i="5" s="1"/>
  <c r="A25" i="5" s="1"/>
  <c r="A26" i="5" s="1"/>
  <c r="A27" i="5" s="1"/>
  <c r="A28" i="5" s="1"/>
  <c r="E4" i="3"/>
  <c r="F4" i="3" s="1"/>
  <c r="E5" i="3"/>
  <c r="F5" i="3" s="1"/>
  <c r="M2" i="2"/>
  <c r="H5" i="1" l="1"/>
  <c r="G6" i="1"/>
  <c r="F7" i="1" s="1"/>
  <c r="F6" i="1"/>
  <c r="H6" i="1" s="1"/>
  <c r="E3" i="5"/>
  <c r="E7" i="5"/>
  <c r="E11" i="5"/>
  <c r="E10" i="5"/>
  <c r="G2" i="3"/>
  <c r="E6" i="5"/>
  <c r="E12" i="5"/>
  <c r="E2" i="5"/>
  <c r="M11" i="2"/>
  <c r="G11" i="2" s="1"/>
  <c r="M9" i="2"/>
  <c r="G9" i="2" s="1"/>
  <c r="E14" i="5"/>
  <c r="M8" i="2"/>
  <c r="G8" i="2" s="1"/>
  <c r="E13" i="5"/>
  <c r="M7" i="2"/>
  <c r="G7" i="2" s="1"/>
  <c r="G3" i="3" s="1"/>
  <c r="E9" i="5"/>
  <c r="E8" i="5"/>
  <c r="M10" i="2"/>
  <c r="G10" i="2" s="1"/>
  <c r="K3" i="5" a="1"/>
  <c r="K3" i="5" s="1"/>
  <c r="M15" i="2"/>
  <c r="G15" i="2" s="1"/>
  <c r="A16" i="2"/>
  <c r="A12" i="2"/>
  <c r="G7" i="1" l="1"/>
  <c r="F8" i="1" s="1"/>
  <c r="H7" i="1"/>
  <c r="H2" i="5"/>
  <c r="N14" i="5"/>
  <c r="A13" i="2"/>
  <c r="M12" i="2"/>
  <c r="G12" i="2" s="1"/>
  <c r="A17" i="2"/>
  <c r="M16" i="2"/>
  <c r="G16" i="2" s="1"/>
  <c r="A31" i="1"/>
  <c r="A32" i="1" s="1"/>
  <c r="A33" i="1" s="1"/>
  <c r="A27" i="1"/>
  <c r="A28" i="1" s="1"/>
  <c r="A29" i="1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G8" i="1" l="1"/>
  <c r="F9" i="1" s="1"/>
  <c r="H8" i="1"/>
  <c r="A18" i="2"/>
  <c r="M18" i="2" s="1"/>
  <c r="G18" i="2" s="1"/>
  <c r="M17" i="2"/>
  <c r="G17" i="2" s="1"/>
  <c r="A14" i="2"/>
  <c r="M13" i="2"/>
  <c r="G13" i="2" s="1"/>
  <c r="G9" i="1" l="1"/>
  <c r="H9" i="1"/>
  <c r="H2" i="3"/>
  <c r="G5" i="3"/>
  <c r="H5" i="3" s="1"/>
  <c r="M14" i="2"/>
  <c r="G14" i="2" l="1"/>
  <c r="G4" i="3" s="1"/>
  <c r="H4" i="3" s="1"/>
  <c r="H3" i="3"/>
  <c r="K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<sst xmlns="http://schemas.openxmlformats.org/spreadsheetml/2006/main" count="252" uniqueCount="154">
  <si>
    <t>3</t>
  </si>
  <si>
    <t>2</t>
  </si>
  <si>
    <t>4</t>
  </si>
  <si>
    <t>11</t>
  </si>
  <si>
    <t>8</t>
  </si>
  <si>
    <t>6, 7</t>
  </si>
  <si>
    <t>9</t>
  </si>
  <si>
    <t>5, 10</t>
  </si>
  <si>
    <t>12</t>
  </si>
  <si>
    <t>13</t>
  </si>
  <si>
    <t>14</t>
  </si>
  <si>
    <t>15</t>
  </si>
  <si>
    <t>Atividades técnicas cotidianas</t>
  </si>
  <si>
    <t>Transferência de dados do poço piloto para o LEA/CTAI</t>
  </si>
  <si>
    <t>Proposição de modelos dinâmicos</t>
  </si>
  <si>
    <t>Validação de modelo dinâmico</t>
  </si>
  <si>
    <t>Validação final (pela empresa) do modelo</t>
  </si>
  <si>
    <t>Reprodução do controlador proposto por Jimenez/ UNICAMP 2019</t>
  </si>
  <si>
    <t>Síntese de controlador avançado</t>
  </si>
  <si>
    <t>Avaliação do desempenho dos controladores</t>
  </si>
  <si>
    <t>Análise básica de robustez dos controladores</t>
  </si>
  <si>
    <t>Validação dos resultados preliminares alcançados em ambiente simulado</t>
  </si>
  <si>
    <t>Integração do controlador ao MPA</t>
  </si>
  <si>
    <t>Validação Tecgraf</t>
  </si>
  <si>
    <t>Testes de integração do controlador/MPA em plataforma de empresa petrolífera</t>
  </si>
  <si>
    <t>Testes de campo</t>
  </si>
  <si>
    <t>Transferência de tecnologia</t>
  </si>
  <si>
    <t>Suporte e correção de bugs</t>
  </si>
  <si>
    <t>cod_ev</t>
  </si>
  <si>
    <t>EV-01307</t>
  </si>
  <si>
    <t>EV-XXXX</t>
  </si>
  <si>
    <t>EV-YYYY</t>
  </si>
  <si>
    <t>wu</t>
  </si>
  <si>
    <t>Ktd</t>
  </si>
  <si>
    <t>Kqa</t>
  </si>
  <si>
    <t>Krc</t>
  </si>
  <si>
    <t>Kap</t>
  </si>
  <si>
    <t>Aqa</t>
  </si>
  <si>
    <t>Arc</t>
  </si>
  <si>
    <t>Aap</t>
  </si>
  <si>
    <t>WQAini</t>
  </si>
  <si>
    <t>WRCini</t>
  </si>
  <si>
    <t>WAPini</t>
  </si>
  <si>
    <t>WDini</t>
  </si>
  <si>
    <t>WTDini</t>
  </si>
  <si>
    <t>xxxxx1</t>
  </si>
  <si>
    <t>xxxxx2</t>
  </si>
  <si>
    <t>xxxxx3</t>
  </si>
  <si>
    <t>xxxxx4</t>
  </si>
  <si>
    <t>yyyy1</t>
  </si>
  <si>
    <t>yyyy2</t>
  </si>
  <si>
    <t>yyyy3</t>
  </si>
  <si>
    <t>yyyy4</t>
  </si>
  <si>
    <t>member_id</t>
  </si>
  <si>
    <t>Member Name 01</t>
  </si>
  <si>
    <t>member_name</t>
  </si>
  <si>
    <t>Member Name 02</t>
  </si>
  <si>
    <t>Member Name 03</t>
  </si>
  <si>
    <t>Member Name 04</t>
  </si>
  <si>
    <t>Member Name 05</t>
  </si>
  <si>
    <t>New Member 01</t>
  </si>
  <si>
    <t>New Member 02</t>
  </si>
  <si>
    <t>New Member 03</t>
  </si>
  <si>
    <t>New Member 04</t>
  </si>
  <si>
    <t>Beta member 01</t>
  </si>
  <si>
    <t>Beta member 02</t>
  </si>
  <si>
    <t>Beta member 03</t>
  </si>
  <si>
    <t>Beta member 04</t>
  </si>
  <si>
    <t>ABA</t>
  </si>
  <si>
    <t>Projeto</t>
  </si>
  <si>
    <t>DEFINICAO</t>
  </si>
  <si>
    <t>CAMPO</t>
  </si>
  <si>
    <t>DE ONDE VEM?</t>
  </si>
  <si>
    <t>project_id</t>
  </si>
  <si>
    <t>Código do projeto (EV, EG, EX...)</t>
  </si>
  <si>
    <t>Custo do projeto (aprovado no SIGITEC</t>
  </si>
  <si>
    <t>Tabelas Petrobras</t>
  </si>
  <si>
    <t>project_cost_tu</t>
  </si>
  <si>
    <t>project_cost_wu</t>
  </si>
  <si>
    <t>Custo do projeto na unidade de Work Unit</t>
  </si>
  <si>
    <t>Custo de tempo do projeto na unidade de Time Unit (dia)</t>
  </si>
  <si>
    <t>Uma vez que sabemos o custo  wu por membro da equipe e a duração do projeto, podemos calcular o WU do projeto</t>
  </si>
  <si>
    <t>member_wu_per_tu</t>
  </si>
  <si>
    <t>member_project_wu</t>
  </si>
  <si>
    <t>member_used_tu</t>
  </si>
  <si>
    <t>project_cost_usd</t>
  </si>
  <si>
    <t>LEGENDA</t>
  </si>
  <si>
    <t>Informação que pode ser extraída de sistema Petrobras</t>
  </si>
  <si>
    <t>Avaliar melhor a real necessidade e a forma de entrada da informação</t>
  </si>
  <si>
    <t>project_usd__per_tu</t>
  </si>
  <si>
    <t>project_cost_usd_per_wu</t>
  </si>
  <si>
    <t>Custo de USD por TU</t>
  </si>
  <si>
    <t>Calculada</t>
  </si>
  <si>
    <t>Custo de Usd por WU</t>
  </si>
  <si>
    <t>member_WTD_dedication</t>
  </si>
  <si>
    <t>member_WQA_dedication</t>
  </si>
  <si>
    <t>member_WRC_dedication</t>
  </si>
  <si>
    <t>member_WAP_dedication</t>
  </si>
  <si>
    <t>Equipe</t>
  </si>
  <si>
    <t>Parte do esforço de trabalho deste membrio da equipe e que será dedicada ao WTD (soma tem de dar 100% e demanda precisa existir na atividde)</t>
  </si>
  <si>
    <t>Parte do esforço de trabalho deste membrio da equipe e que será dedicada ao WQA (soma tem de dar 100% e demanda precisa existir na atividde)</t>
  </si>
  <si>
    <t>Parte do esforço de trabalho deste membrio da equipe e que será dedicada ao WRC (soma tem de dar 100% e demanda precisa existir na atividde)</t>
  </si>
  <si>
    <t>Parte do esforço de trabalho deste membrio da equipe e que será dedicada ao WAP (soma tem de dar 100% e demanda precisa existir na atividde)</t>
  </si>
  <si>
    <t>Informação nova</t>
  </si>
  <si>
    <t>task_id</t>
  </si>
  <si>
    <t>stage_id</t>
  </si>
  <si>
    <t>task_notes</t>
  </si>
  <si>
    <t>predecessors</t>
  </si>
  <si>
    <t>member_id_dedication</t>
  </si>
  <si>
    <t xml:space="preserve">Membro = </t>
  </si>
  <si>
    <t>Seleciona:</t>
  </si>
  <si>
    <t>member_wu_dedication</t>
  </si>
  <si>
    <t>AlocacaoEquipe</t>
  </si>
  <si>
    <t>% de alocação do membro da equipe a uma atividade específica (checar pois 100% tem de estar distribuido em todas as atividades que ele participa)</t>
  </si>
  <si>
    <t>Converte % de decicação em WU, com base no tttal de wu deste membro no projeto (checar pois a soma dos WU tem de dar o total de WU do projeto)</t>
  </si>
  <si>
    <t>Identificação do membro na equipe</t>
  </si>
  <si>
    <t>Nome do membro</t>
  </si>
  <si>
    <t>Total de wu que o membro dedicará ao projeto (com base no % de used_tu)</t>
  </si>
  <si>
    <t>Busca</t>
  </si>
  <si>
    <t>EV-00000</t>
  </si>
  <si>
    <t>Atividade 1</t>
  </si>
  <si>
    <t>Atividade 2</t>
  </si>
  <si>
    <t>Atividade 3</t>
  </si>
  <si>
    <t>Atividade 4</t>
  </si>
  <si>
    <t>Atividade 5</t>
  </si>
  <si>
    <t>Atividade 6</t>
  </si>
  <si>
    <t>Atividade 7</t>
  </si>
  <si>
    <t>Atividade 8</t>
  </si>
  <si>
    <t>1,2,3</t>
  </si>
  <si>
    <t>expected_date_ini</t>
  </si>
  <si>
    <t>expected_date_end</t>
  </si>
  <si>
    <t>expected_start_tu</t>
  </si>
  <si>
    <t>project_date_ini</t>
  </si>
  <si>
    <t>Critérios Petrobras</t>
  </si>
  <si>
    <t>filter</t>
  </si>
  <si>
    <t>Qualquer critério de filtro que a empresa use</t>
  </si>
  <si>
    <t>member_profile</t>
  </si>
  <si>
    <t>% de tempo que o membro dedicará ao projeto em relação ao tempo total do projeto (por exemplo, apenas 24 de 36 meses)</t>
  </si>
  <si>
    <t>Perfil da equipe (enquadramento SIGITEC), dando "peso" ao seu valor de HH</t>
  </si>
  <si>
    <t>Dedicação de trabalho do membro medidos em wu/tu (por exemplo, horas/dia ou horas/semana)</t>
  </si>
  <si>
    <t>Informação calculada com base no que temos ou em registros dos sistemas Petrobras (SIGITEC/MapE)</t>
  </si>
  <si>
    <t>Validação 1</t>
  </si>
  <si>
    <t>Validar %</t>
  </si>
  <si>
    <t>Validação 2</t>
  </si>
  <si>
    <t xml:space="preserve">Validação = Checar soma = </t>
  </si>
  <si>
    <t>Ptd</t>
  </si>
  <si>
    <t>Pqa</t>
  </si>
  <si>
    <t>Prc</t>
  </si>
  <si>
    <t>Pap</t>
  </si>
  <si>
    <t>Não temos as medições, mas temos a evolução % do WD no relatório gerencial</t>
  </si>
  <si>
    <t>BypQA</t>
  </si>
  <si>
    <t>BypRC</t>
  </si>
  <si>
    <t>BypAP</t>
  </si>
  <si>
    <t>EV-00001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</si>
</sst>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70C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4" fontId="0" fillId="3" borderId="1" xfId="0" applyNumberForma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4" fontId="5" fillId="3" borderId="1" xfId="0" applyNumberFormat="1" applyFont="1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9" fontId="0" fillId="2" borderId="1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4" borderId="2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9" fontId="6" fillId="3" borderId="1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right"/>
    </xf>
    <xf numFmtId="9" fontId="0" fillId="6" borderId="0" xfId="1" applyFont="1" applyFill="1"/>
    <xf numFmtId="0" fontId="1" fillId="4" borderId="2" xfId="0" applyFont="1" applyFill="1" applyBorder="1" applyAlignment="1">
      <alignment horizontal="center" vertical="top"/>
    </xf>
    <xf numFmtId="0" fontId="9" fillId="3" borderId="1" xfId="0" applyFont="1" applyFill="1" applyBorder="1"/>
  </cellXfs>
  <cellStyles count="2">
    <cellStyle name="Normal" xfId="0" builtinId="0"/>
    <cellStyle name="Porcentagem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3853-1C4D-46CF-A1EE-F481AD13DEC5}">
  <dimension ref="A1:D30"/>
  <sheetViews>
    <sheetView workbookViewId="0">
      <selection activeCell="A29" sqref="A29"/>
    </sheetView>
  </sheetViews>
  <sheetFormatPr defaultRowHeight="14.25"/>
  <cols>
    <col min="1" max="1" width="15.125" style="1" customWidth="1"/>
    <col min="2" max="2" width="22.875" style="10" customWidth="1"/>
    <col min="3" max="3" width="46.5" style="10" customWidth="1"/>
    <col min="4" max="4" width="40.5" style="10" bestFit="1" customWidth="1"/>
  </cols>
  <sheetData>
    <row r="1" spans="1:4">
      <c r="A1" s="2" t="s">
        <v>68</v>
      </c>
      <c r="B1" s="9" t="s">
        <v>71</v>
      </c>
      <c r="C1" s="9" t="s">
        <v>70</v>
      </c>
      <c r="D1" s="9" t="s">
        <v>72</v>
      </c>
    </row>
    <row r="2" spans="1:4">
      <c r="A2" s="10" t="s">
        <v>69</v>
      </c>
      <c r="B2" s="10" t="s">
        <v>73</v>
      </c>
      <c r="C2" s="10" t="s">
        <v>74</v>
      </c>
      <c r="D2" s="10" t="s">
        <v>76</v>
      </c>
    </row>
    <row r="3" spans="1:4">
      <c r="A3" s="10" t="s">
        <v>69</v>
      </c>
      <c r="B3" s="10" t="s">
        <v>134</v>
      </c>
      <c r="C3" s="10" t="s">
        <v>135</v>
      </c>
      <c r="D3" s="10" t="s">
        <v>133</v>
      </c>
    </row>
    <row r="4" spans="1:4">
      <c r="A4" s="10" t="s">
        <v>69</v>
      </c>
      <c r="B4" s="10" t="s">
        <v>85</v>
      </c>
      <c r="C4" s="10" t="s">
        <v>75</v>
      </c>
      <c r="D4" s="10" t="s">
        <v>76</v>
      </c>
    </row>
    <row r="5" spans="1:4">
      <c r="A5" s="10" t="s">
        <v>69</v>
      </c>
      <c r="B5" s="10" t="s">
        <v>77</v>
      </c>
      <c r="C5" s="10" t="s">
        <v>80</v>
      </c>
      <c r="D5" s="10" t="s">
        <v>76</v>
      </c>
    </row>
    <row r="6" spans="1:4">
      <c r="A6" s="10" t="s">
        <v>69</v>
      </c>
      <c r="B6" s="10" t="s">
        <v>89</v>
      </c>
      <c r="C6" s="10" t="s">
        <v>91</v>
      </c>
      <c r="D6" s="10" t="s">
        <v>92</v>
      </c>
    </row>
    <row r="7" spans="1:4">
      <c r="A7" s="10" t="s">
        <v>69</v>
      </c>
      <c r="B7" s="10" t="s">
        <v>78</v>
      </c>
      <c r="C7" s="10" t="s">
        <v>79</v>
      </c>
      <c r="D7" s="10" t="s">
        <v>81</v>
      </c>
    </row>
    <row r="8" spans="1:4">
      <c r="A8" s="10" t="s">
        <v>69</v>
      </c>
      <c r="B8" s="10" t="s">
        <v>90</v>
      </c>
      <c r="C8" s="10" t="s">
        <v>93</v>
      </c>
      <c r="D8" s="10" t="s">
        <v>92</v>
      </c>
    </row>
    <row r="9" spans="1:4">
      <c r="A9" s="10"/>
    </row>
    <row r="10" spans="1:4">
      <c r="A10" s="10" t="s">
        <v>98</v>
      </c>
      <c r="B10" s="10" t="s">
        <v>53</v>
      </c>
      <c r="C10" s="10" t="s">
        <v>115</v>
      </c>
    </row>
    <row r="11" spans="1:4">
      <c r="A11" s="10" t="s">
        <v>98</v>
      </c>
      <c r="B11" s="10" t="s">
        <v>55</v>
      </c>
      <c r="C11" s="10" t="s">
        <v>116</v>
      </c>
    </row>
    <row r="12" spans="1:4">
      <c r="A12" s="10" t="s">
        <v>98</v>
      </c>
      <c r="B12" s="10" t="s">
        <v>84</v>
      </c>
      <c r="C12" s="10" t="s">
        <v>137</v>
      </c>
    </row>
    <row r="13" spans="1:4">
      <c r="A13" s="10" t="s">
        <v>98</v>
      </c>
      <c r="B13" s="10" t="s">
        <v>136</v>
      </c>
      <c r="C13" s="10" t="s">
        <v>138</v>
      </c>
    </row>
    <row r="14" spans="1:4">
      <c r="A14" s="10" t="s">
        <v>98</v>
      </c>
      <c r="B14" s="10" t="s">
        <v>82</v>
      </c>
      <c r="C14" s="10" t="s">
        <v>139</v>
      </c>
    </row>
    <row r="15" spans="1:4">
      <c r="A15" s="10"/>
    </row>
    <row r="16" spans="1:4">
      <c r="A16" s="10" t="s">
        <v>98</v>
      </c>
      <c r="B16" s="10" t="s">
        <v>83</v>
      </c>
      <c r="C16" s="10" t="s">
        <v>117</v>
      </c>
    </row>
    <row r="17" spans="1:3">
      <c r="A17" s="10" t="s">
        <v>98</v>
      </c>
      <c r="B17" s="10" t="s">
        <v>94</v>
      </c>
      <c r="C17" s="10" t="s">
        <v>99</v>
      </c>
    </row>
    <row r="18" spans="1:3">
      <c r="A18" s="10" t="s">
        <v>98</v>
      </c>
      <c r="B18" s="10" t="s">
        <v>95</v>
      </c>
      <c r="C18" s="10" t="s">
        <v>100</v>
      </c>
    </row>
    <row r="19" spans="1:3">
      <c r="A19" s="10" t="s">
        <v>98</v>
      </c>
      <c r="B19" s="10" t="s">
        <v>96</v>
      </c>
      <c r="C19" s="10" t="s">
        <v>101</v>
      </c>
    </row>
    <row r="20" spans="1:3">
      <c r="A20" s="10" t="s">
        <v>98</v>
      </c>
      <c r="B20" s="10" t="s">
        <v>97</v>
      </c>
      <c r="C20" s="10" t="s">
        <v>102</v>
      </c>
    </row>
    <row r="21" spans="1:3">
      <c r="A21" s="10"/>
    </row>
    <row r="22" spans="1:3">
      <c r="A22" s="10" t="s">
        <v>112</v>
      </c>
      <c r="B22" s="10" t="s">
        <v>108</v>
      </c>
      <c r="C22" s="10" t="s">
        <v>113</v>
      </c>
    </row>
    <row r="23" spans="1:3">
      <c r="A23" s="10" t="s">
        <v>112</v>
      </c>
      <c r="B23" s="10" t="s">
        <v>111</v>
      </c>
      <c r="C23" s="10" t="s">
        <v>114</v>
      </c>
    </row>
    <row r="25" spans="1:3">
      <c r="A25" s="10"/>
    </row>
    <row r="26" spans="1:3">
      <c r="A26" s="1" t="s">
        <v>86</v>
      </c>
    </row>
    <row r="27" spans="1:3">
      <c r="A27" s="11" t="s">
        <v>87</v>
      </c>
      <c r="B27" s="13"/>
      <c r="C27" s="13"/>
    </row>
    <row r="28" spans="1:3">
      <c r="A28" s="14" t="s">
        <v>140</v>
      </c>
      <c r="B28" s="15"/>
      <c r="C28" s="15"/>
    </row>
    <row r="29" spans="1:3">
      <c r="A29" s="17" t="s">
        <v>88</v>
      </c>
      <c r="B29" s="18"/>
      <c r="C29" s="18"/>
    </row>
    <row r="30" spans="1:3">
      <c r="A30" s="23" t="s">
        <v>103</v>
      </c>
      <c r="B30" s="23"/>
      <c r="C30" s="2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936E-B939-4714-9610-63788CF7A0B8}">
  <dimension ref="A1:K6"/>
  <sheetViews>
    <sheetView workbookViewId="0">
      <selection activeCell="A2" sqref="A2"/>
    </sheetView>
  </sheetViews>
  <sheetFormatPr defaultRowHeight="14.25"/>
  <cols>
    <col min="1" max="1" width="9.5" style="1" bestFit="1" customWidth="1"/>
    <col min="2" max="2" width="14.5" style="1" bestFit="1" customWidth="1"/>
    <col min="3" max="3" width="5" style="1" bestFit="1" customWidth="1"/>
    <col min="4" max="4" width="15.25" style="1" bestFit="1" customWidth="1"/>
    <col min="5" max="5" width="13.875" style="1" bestFit="1" customWidth="1"/>
    <col min="6" max="6" width="17.75" style="1" bestFit="1" customWidth="1"/>
    <col min="7" max="7" width="14.5" style="1" bestFit="1" customWidth="1"/>
    <col min="8" max="8" width="22.125" style="1" customWidth="1"/>
    <col min="11" max="11" width="11.625" bestFit="1" customWidth="1"/>
  </cols>
  <sheetData>
    <row r="1" spans="1:11" ht="15">
      <c r="A1" s="3" t="s">
        <v>73</v>
      </c>
      <c r="B1" s="3" t="s">
        <v>132</v>
      </c>
      <c r="C1" s="3" t="s">
        <v>134</v>
      </c>
      <c r="D1" s="3" t="s">
        <v>85</v>
      </c>
      <c r="E1" s="3" t="s">
        <v>77</v>
      </c>
      <c r="F1" s="3" t="s">
        <v>89</v>
      </c>
      <c r="G1" s="3" t="s">
        <v>78</v>
      </c>
      <c r="H1" s="3" t="s">
        <v>90</v>
      </c>
      <c r="K1" s="2" t="s">
        <v>141</v>
      </c>
    </row>
    <row r="2" spans="1:11">
      <c r="A2" s="7" t="s">
        <v>119</v>
      </c>
      <c r="B2" s="30">
        <v>45658</v>
      </c>
      <c r="C2" s="7">
        <v>1</v>
      </c>
      <c r="D2" s="16">
        <v>1000000</v>
      </c>
      <c r="E2" s="7">
        <f>1*365</f>
        <v>365</v>
      </c>
      <c r="F2" s="19">
        <f>D2/E2</f>
        <v>2739.7260273972602</v>
      </c>
      <c r="G2" s="19">
        <f>SUMIF(Equipe!$A$2:$A$18,Projeto!A2,Equipe!$G$2:$G$18)</f>
        <v>292000</v>
      </c>
      <c r="H2" s="19">
        <f>D2/G2</f>
        <v>3.4246575342465753</v>
      </c>
      <c r="K2" s="19">
        <f>SUM(G2:G5)</f>
        <v>1472410</v>
      </c>
    </row>
    <row r="3" spans="1:11">
      <c r="A3" s="7" t="s">
        <v>29</v>
      </c>
      <c r="B3" s="30">
        <v>44888</v>
      </c>
      <c r="C3" s="7">
        <v>2</v>
      </c>
      <c r="D3" s="16">
        <v>1000000</v>
      </c>
      <c r="E3" s="7">
        <f t="shared" ref="E3:E5" si="0">3*365</f>
        <v>1095</v>
      </c>
      <c r="F3" s="19">
        <f t="shared" ref="F3" si="1">D3/E3</f>
        <v>913.24200913242009</v>
      </c>
      <c r="G3" s="19">
        <f>SUMIF(Equipe!$A$2:$A$18,Projeto!A3,Equipe!$G$2:$G$18)</f>
        <v>586920</v>
      </c>
      <c r="H3" s="19">
        <f t="shared" ref="H3" si="2">D3/G3</f>
        <v>1.7038097185306345</v>
      </c>
      <c r="K3" s="1" t="str">
        <f>IF(K2=Equipe!P2,"OK!","ERRO!!!")</f>
        <v>OK!</v>
      </c>
    </row>
    <row r="4" spans="1:11">
      <c r="A4" s="7" t="s">
        <v>30</v>
      </c>
      <c r="B4" s="30">
        <v>45509</v>
      </c>
      <c r="C4" s="7">
        <v>2</v>
      </c>
      <c r="D4" s="16">
        <v>2000000</v>
      </c>
      <c r="E4" s="7">
        <f t="shared" si="0"/>
        <v>1095</v>
      </c>
      <c r="F4" s="19">
        <f t="shared" ref="F4:F5" si="3">D4/E4</f>
        <v>1826.4840182648402</v>
      </c>
      <c r="G4" s="19">
        <f>SUMIF(Equipe!$A$2:$A$18,Projeto!A4,Equipe!$G$2:$G$18)</f>
        <v>269370</v>
      </c>
      <c r="H4" s="19">
        <f t="shared" ref="H4:H5" si="4">D4/G4</f>
        <v>7.4247317815643914</v>
      </c>
    </row>
    <row r="5" spans="1:11">
      <c r="A5" s="7" t="s">
        <v>31</v>
      </c>
      <c r="B5" s="30">
        <v>44472</v>
      </c>
      <c r="C5" s="7">
        <v>3</v>
      </c>
      <c r="D5" s="16">
        <v>3000000</v>
      </c>
      <c r="E5" s="7">
        <f t="shared" si="0"/>
        <v>1095</v>
      </c>
      <c r="F5" s="19">
        <f t="shared" si="3"/>
        <v>2739.7260273972602</v>
      </c>
      <c r="G5" s="19">
        <f>SUMIF(Equipe!$A$2:$A$18,Projeto!A5,Equipe!$G$2:$G$18)</f>
        <v>324120</v>
      </c>
      <c r="H5" s="19">
        <f t="shared" si="4"/>
        <v>9.2558311736393932</v>
      </c>
    </row>
    <row r="6" spans="1:11">
      <c r="F6" s="27"/>
    </row>
  </sheetData>
  <phoneticPr fontId="2" type="noConversion"/>
  <conditionalFormatting sqref="K3">
    <cfRule type="cellIs" dxfId="2" priority="1" operator="equal">
      <formula>"ERRO!!!"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E885-4737-434D-B067-1FA178D731F9}">
  <dimension ref="A1:Q21"/>
  <sheetViews>
    <sheetView workbookViewId="0">
      <selection activeCell="G2" sqref="G2:G5"/>
    </sheetView>
  </sheetViews>
  <sheetFormatPr defaultRowHeight="14.25"/>
  <cols>
    <col min="1" max="1" width="8.75" style="1" bestFit="1" customWidth="1"/>
    <col min="2" max="2" width="10" style="1" bestFit="1" customWidth="1"/>
    <col min="3" max="3" width="15.375" style="1" bestFit="1" customWidth="1"/>
    <col min="4" max="4" width="15.375" style="1" customWidth="1"/>
    <col min="5" max="6" width="17.625" style="1" customWidth="1"/>
    <col min="7" max="7" width="17.5" bestFit="1" customWidth="1"/>
    <col min="8" max="11" width="8" customWidth="1"/>
    <col min="13" max="13" width="8.875" style="1"/>
    <col min="15" max="15" width="8.875" style="1"/>
    <col min="16" max="16" width="13.125" style="1" customWidth="1"/>
    <col min="17" max="17" width="12.625" style="1" customWidth="1"/>
  </cols>
  <sheetData>
    <row r="1" spans="1:17" ht="15">
      <c r="A1" s="3" t="s">
        <v>28</v>
      </c>
      <c r="B1" s="4" t="s">
        <v>53</v>
      </c>
      <c r="C1" s="4" t="s">
        <v>55</v>
      </c>
      <c r="D1" s="4" t="s">
        <v>84</v>
      </c>
      <c r="E1" s="4" t="s">
        <v>136</v>
      </c>
      <c r="F1" s="4" t="s">
        <v>82</v>
      </c>
      <c r="G1" s="4" t="s">
        <v>83</v>
      </c>
      <c r="H1" s="4" t="s">
        <v>94</v>
      </c>
      <c r="I1" s="4" t="s">
        <v>95</v>
      </c>
      <c r="J1" s="4" t="s">
        <v>96</v>
      </c>
      <c r="K1" s="4" t="s">
        <v>97</v>
      </c>
      <c r="M1" s="4" t="s">
        <v>118</v>
      </c>
      <c r="O1" s="25" t="s">
        <v>142</v>
      </c>
      <c r="P1" s="25" t="s">
        <v>141</v>
      </c>
      <c r="Q1" s="25" t="s">
        <v>143</v>
      </c>
    </row>
    <row r="2" spans="1:17">
      <c r="A2" s="7" t="s">
        <v>119</v>
      </c>
      <c r="B2" s="7">
        <v>1</v>
      </c>
      <c r="C2" s="7" t="s">
        <v>54</v>
      </c>
      <c r="D2" s="20">
        <v>1</v>
      </c>
      <c r="E2" s="7">
        <v>150</v>
      </c>
      <c r="F2" s="7">
        <v>2</v>
      </c>
      <c r="G2" s="19">
        <f>D2*M2*E2*F2</f>
        <v>109500</v>
      </c>
      <c r="H2" s="24">
        <v>0.85</v>
      </c>
      <c r="I2" s="24">
        <v>0.05</v>
      </c>
      <c r="J2" s="24">
        <v>0.05</v>
      </c>
      <c r="K2" s="24">
        <v>0.05</v>
      </c>
      <c r="M2" s="12">
        <f>SUMIF(Projeto!$A$2:$A$5,Equipe!A2,Projeto!$E$2:$E$5)</f>
        <v>365</v>
      </c>
      <c r="O2" s="26" t="str">
        <f>IF(SUM(H2:K2)=1,"OK!","ERRO!!!")</f>
        <v>OK!</v>
      </c>
      <c r="P2" s="19">
        <f>SUM($G$2:$G$18)</f>
        <v>1472410</v>
      </c>
      <c r="Q2" s="19">
        <f>SUMIF($A$2:$A$18,A2,$G$2:$G$18)</f>
        <v>292000</v>
      </c>
    </row>
    <row r="3" spans="1:17">
      <c r="A3" s="7" t="s">
        <v>119</v>
      </c>
      <c r="B3" s="7">
        <v>2</v>
      </c>
      <c r="C3" s="7" t="s">
        <v>56</v>
      </c>
      <c r="D3" s="20">
        <v>1</v>
      </c>
      <c r="E3" s="7">
        <v>30</v>
      </c>
      <c r="F3" s="7">
        <v>8</v>
      </c>
      <c r="G3" s="19">
        <f t="shared" ref="G3:G18" si="0">D3*M3*E3*F3</f>
        <v>87600</v>
      </c>
      <c r="H3" s="24">
        <v>1</v>
      </c>
      <c r="I3" s="24"/>
      <c r="J3" s="24"/>
      <c r="K3" s="24"/>
      <c r="M3" s="12">
        <f>SUMIF(Projeto!$A$2:$A$5,Equipe!A3,Projeto!$E$2:$E$5)</f>
        <v>365</v>
      </c>
      <c r="O3" s="26" t="str">
        <f t="shared" ref="O3:O10" si="1">IF(SUM(H3:K3)=1,"OK!","ERRO!!!")</f>
        <v>OK!</v>
      </c>
      <c r="P3" s="26"/>
      <c r="Q3" s="26"/>
    </row>
    <row r="4" spans="1:17">
      <c r="A4" s="7" t="s">
        <v>119</v>
      </c>
      <c r="B4" s="7">
        <v>3</v>
      </c>
      <c r="C4" s="7" t="s">
        <v>57</v>
      </c>
      <c r="D4" s="20">
        <v>0.5</v>
      </c>
      <c r="E4" s="7">
        <v>100</v>
      </c>
      <c r="F4" s="7">
        <v>4</v>
      </c>
      <c r="G4" s="19">
        <f t="shared" si="0"/>
        <v>73000</v>
      </c>
      <c r="H4" s="24">
        <v>0.9</v>
      </c>
      <c r="I4" s="24"/>
      <c r="J4" s="24">
        <v>0.1</v>
      </c>
      <c r="K4" s="24">
        <v>0</v>
      </c>
      <c r="M4" s="12">
        <f>SUMIF(Projeto!$A$2:$A$5,Equipe!A4,Projeto!$E$2:$E$5)</f>
        <v>365</v>
      </c>
      <c r="O4" s="26" t="str">
        <f t="shared" si="1"/>
        <v>OK!</v>
      </c>
      <c r="P4" s="26"/>
      <c r="Q4" s="26"/>
    </row>
    <row r="5" spans="1:17">
      <c r="A5" s="7" t="s">
        <v>119</v>
      </c>
      <c r="B5" s="7">
        <v>4</v>
      </c>
      <c r="C5" s="7" t="s">
        <v>58</v>
      </c>
      <c r="D5" s="20">
        <v>0.2</v>
      </c>
      <c r="E5" s="7">
        <v>300</v>
      </c>
      <c r="F5" s="7">
        <v>1</v>
      </c>
      <c r="G5" s="19">
        <f t="shared" si="0"/>
        <v>21900</v>
      </c>
      <c r="H5" s="24"/>
      <c r="I5" s="24">
        <v>0.05</v>
      </c>
      <c r="J5" s="24">
        <v>0.45</v>
      </c>
      <c r="K5" s="24">
        <v>0.5</v>
      </c>
      <c r="M5" s="12">
        <f>SUMIF(Projeto!$A$2:$A$5,Equipe!A5,Projeto!$E$2:$E$5)</f>
        <v>365</v>
      </c>
      <c r="O5" s="26" t="str">
        <f t="shared" si="1"/>
        <v>OK!</v>
      </c>
      <c r="P5" s="26"/>
      <c r="Q5" s="26"/>
    </row>
    <row r="6" spans="1:17">
      <c r="A6" s="7" t="s">
        <v>29</v>
      </c>
      <c r="B6" s="7">
        <v>1</v>
      </c>
      <c r="C6" s="7" t="s">
        <v>54</v>
      </c>
      <c r="D6" s="20">
        <v>1</v>
      </c>
      <c r="E6" s="7">
        <v>20</v>
      </c>
      <c r="F6" s="7">
        <v>8</v>
      </c>
      <c r="G6" s="19">
        <f t="shared" si="0"/>
        <v>175200</v>
      </c>
      <c r="H6" s="24">
        <v>0.5</v>
      </c>
      <c r="I6" s="24">
        <v>0.5</v>
      </c>
      <c r="J6" s="24"/>
      <c r="K6" s="24"/>
      <c r="M6" s="12">
        <f>SUMIF(Projeto!$A$2:$A$5,Equipe!A6,Projeto!$E$2:$E$5)</f>
        <v>1095</v>
      </c>
      <c r="O6" s="26" t="str">
        <f t="shared" si="1"/>
        <v>OK!</v>
      </c>
      <c r="P6" s="26"/>
      <c r="Q6" s="26"/>
    </row>
    <row r="7" spans="1:17">
      <c r="A7" s="7" t="s">
        <v>29</v>
      </c>
      <c r="B7" s="7">
        <v>2</v>
      </c>
      <c r="C7" s="7" t="s">
        <v>56</v>
      </c>
      <c r="D7" s="20">
        <v>1</v>
      </c>
      <c r="E7" s="7">
        <v>20</v>
      </c>
      <c r="F7" s="7">
        <v>8</v>
      </c>
      <c r="G7" s="19">
        <f t="shared" si="0"/>
        <v>175200</v>
      </c>
      <c r="H7" s="24">
        <v>0.5</v>
      </c>
      <c r="I7" s="24">
        <v>0.5</v>
      </c>
      <c r="J7" s="24"/>
      <c r="K7" s="24"/>
      <c r="M7" s="12">
        <f>SUMIF(Projeto!$A$2:$A$5,Equipe!A7,Projeto!$E$2:$E$5)</f>
        <v>1095</v>
      </c>
      <c r="O7" s="26" t="str">
        <f t="shared" si="1"/>
        <v>OK!</v>
      </c>
      <c r="P7" s="26"/>
      <c r="Q7" s="26"/>
    </row>
    <row r="8" spans="1:17">
      <c r="A8" s="7" t="s">
        <v>29</v>
      </c>
      <c r="B8" s="7">
        <v>3</v>
      </c>
      <c r="C8" s="7" t="s">
        <v>57</v>
      </c>
      <c r="D8" s="20">
        <v>0.8</v>
      </c>
      <c r="E8" s="7">
        <v>20</v>
      </c>
      <c r="F8" s="7">
        <v>4</v>
      </c>
      <c r="G8" s="19">
        <f t="shared" si="0"/>
        <v>70080</v>
      </c>
      <c r="H8" s="24">
        <v>0</v>
      </c>
      <c r="I8" s="24">
        <v>0.5</v>
      </c>
      <c r="J8" s="24">
        <v>0.5</v>
      </c>
      <c r="K8" s="24"/>
      <c r="M8" s="12">
        <f>SUMIF(Projeto!$A$2:$A$5,Equipe!A8,Projeto!$E$2:$E$5)</f>
        <v>1095</v>
      </c>
      <c r="O8" s="26" t="str">
        <f t="shared" si="1"/>
        <v>OK!</v>
      </c>
      <c r="P8" s="26"/>
      <c r="Q8" s="26"/>
    </row>
    <row r="9" spans="1:17">
      <c r="A9" s="7" t="s">
        <v>29</v>
      </c>
      <c r="B9" s="7">
        <v>4</v>
      </c>
      <c r="C9" s="7" t="s">
        <v>58</v>
      </c>
      <c r="D9" s="20">
        <v>0.8</v>
      </c>
      <c r="E9" s="7">
        <v>20</v>
      </c>
      <c r="F9" s="7">
        <v>5</v>
      </c>
      <c r="G9" s="19">
        <f t="shared" si="0"/>
        <v>87600</v>
      </c>
      <c r="H9" s="24">
        <v>0.8</v>
      </c>
      <c r="I9" s="24">
        <v>0.1</v>
      </c>
      <c r="J9" s="24">
        <v>0.1</v>
      </c>
      <c r="K9" s="24"/>
      <c r="M9" s="12">
        <f>SUMIF(Projeto!$A$2:$A$5,Equipe!A9,Projeto!$E$2:$E$5)</f>
        <v>1095</v>
      </c>
      <c r="O9" s="26" t="str">
        <f t="shared" si="1"/>
        <v>OK!</v>
      </c>
      <c r="P9" s="26"/>
      <c r="Q9" s="26"/>
    </row>
    <row r="10" spans="1:17">
      <c r="A10" s="7" t="s">
        <v>29</v>
      </c>
      <c r="B10" s="7">
        <v>5</v>
      </c>
      <c r="C10" s="7" t="s">
        <v>59</v>
      </c>
      <c r="D10" s="20">
        <v>0.6</v>
      </c>
      <c r="E10" s="7">
        <v>20</v>
      </c>
      <c r="F10" s="7">
        <v>6</v>
      </c>
      <c r="G10" s="19">
        <f t="shared" si="0"/>
        <v>78840</v>
      </c>
      <c r="H10" s="24"/>
      <c r="I10" s="24"/>
      <c r="J10" s="24"/>
      <c r="K10" s="24">
        <v>1</v>
      </c>
      <c r="M10" s="12">
        <f>SUMIF(Projeto!$A$2:$A$5,Equipe!A10,Projeto!$E$2:$E$5)</f>
        <v>1095</v>
      </c>
      <c r="O10" s="26" t="str">
        <f t="shared" si="1"/>
        <v>OK!</v>
      </c>
      <c r="P10" s="26"/>
      <c r="Q10" s="26"/>
    </row>
    <row r="11" spans="1:17">
      <c r="A11" s="7" t="s">
        <v>30</v>
      </c>
      <c r="B11" s="7">
        <v>1</v>
      </c>
      <c r="C11" s="7" t="s">
        <v>60</v>
      </c>
      <c r="D11" s="20">
        <v>0.3</v>
      </c>
      <c r="E11" s="7">
        <v>20</v>
      </c>
      <c r="F11" s="7">
        <v>7</v>
      </c>
      <c r="G11" s="19">
        <f t="shared" si="0"/>
        <v>45990</v>
      </c>
      <c r="H11" s="24"/>
      <c r="I11" s="24"/>
      <c r="J11" s="24"/>
      <c r="K11" s="24">
        <v>1</v>
      </c>
      <c r="M11" s="12">
        <f>SUMIF(Projeto!$A$2:$A$5,Equipe!A11,Projeto!$E$2:$E$5)</f>
        <v>1095</v>
      </c>
      <c r="O11" s="26" t="str">
        <f t="shared" ref="O11:O18" si="2">IF(SUM(H11:K11)=1,"OK!","ERRO!!!")</f>
        <v>OK!</v>
      </c>
      <c r="P11" s="26"/>
      <c r="Q11" s="26"/>
    </row>
    <row r="12" spans="1:17">
      <c r="A12" s="7" t="str">
        <f t="shared" ref="A12:A14" si="3">A11</f>
        <v>EV-XXXX</v>
      </c>
      <c r="B12" s="7">
        <v>2</v>
      </c>
      <c r="C12" s="7" t="s">
        <v>61</v>
      </c>
      <c r="D12" s="20">
        <v>1</v>
      </c>
      <c r="E12" s="7">
        <v>20</v>
      </c>
      <c r="F12" s="7">
        <v>8</v>
      </c>
      <c r="G12" s="19">
        <f t="shared" si="0"/>
        <v>175200</v>
      </c>
      <c r="H12" s="24">
        <v>1</v>
      </c>
      <c r="I12" s="24"/>
      <c r="J12" s="24"/>
      <c r="K12" s="24"/>
      <c r="M12" s="12">
        <f>SUMIF(Projeto!$A$2:$A$5,Equipe!A12,Projeto!$E$2:$E$5)</f>
        <v>1095</v>
      </c>
      <c r="O12" s="26" t="str">
        <f t="shared" si="2"/>
        <v>OK!</v>
      </c>
      <c r="P12" s="26"/>
      <c r="Q12" s="26"/>
    </row>
    <row r="13" spans="1:17">
      <c r="A13" s="7" t="str">
        <f t="shared" si="3"/>
        <v>EV-XXXX</v>
      </c>
      <c r="B13" s="7">
        <v>3</v>
      </c>
      <c r="C13" s="7" t="s">
        <v>62</v>
      </c>
      <c r="D13" s="20">
        <v>0.2</v>
      </c>
      <c r="E13" s="7">
        <v>20</v>
      </c>
      <c r="F13" s="7">
        <v>1</v>
      </c>
      <c r="G13" s="19">
        <f t="shared" si="0"/>
        <v>4380</v>
      </c>
      <c r="H13" s="24">
        <v>1</v>
      </c>
      <c r="I13" s="24"/>
      <c r="J13" s="24"/>
      <c r="K13" s="24"/>
      <c r="M13" s="12">
        <f>SUMIF(Projeto!$A$2:$A$5,Equipe!A13,Projeto!$E$2:$E$5)</f>
        <v>1095</v>
      </c>
      <c r="O13" s="26" t="str">
        <f t="shared" si="2"/>
        <v>OK!</v>
      </c>
      <c r="P13" s="26"/>
      <c r="Q13" s="26"/>
    </row>
    <row r="14" spans="1:17">
      <c r="A14" s="7" t="str">
        <f t="shared" si="3"/>
        <v>EV-XXXX</v>
      </c>
      <c r="B14" s="7">
        <v>4</v>
      </c>
      <c r="C14" s="7" t="s">
        <v>63</v>
      </c>
      <c r="D14" s="20">
        <v>1</v>
      </c>
      <c r="E14" s="7">
        <v>20</v>
      </c>
      <c r="F14" s="7">
        <v>2</v>
      </c>
      <c r="G14" s="19">
        <f t="shared" si="0"/>
        <v>43800</v>
      </c>
      <c r="H14" s="24">
        <v>0.7</v>
      </c>
      <c r="I14" s="24">
        <v>0.3</v>
      </c>
      <c r="J14" s="24"/>
      <c r="K14" s="24"/>
      <c r="M14" s="12">
        <f>SUMIF(Projeto!$A$2:$A$5,Equipe!A14,Projeto!$E$2:$E$5)</f>
        <v>1095</v>
      </c>
      <c r="O14" s="26" t="str">
        <f t="shared" si="2"/>
        <v>OK!</v>
      </c>
      <c r="P14" s="26"/>
      <c r="Q14" s="26"/>
    </row>
    <row r="15" spans="1:17">
      <c r="A15" s="7" t="s">
        <v>31</v>
      </c>
      <c r="B15" s="7">
        <v>1</v>
      </c>
      <c r="C15" s="7" t="s">
        <v>64</v>
      </c>
      <c r="D15" s="20">
        <v>1</v>
      </c>
      <c r="E15" s="7">
        <v>20</v>
      </c>
      <c r="F15" s="7">
        <v>3</v>
      </c>
      <c r="G15" s="19">
        <f t="shared" si="0"/>
        <v>65700</v>
      </c>
      <c r="H15" s="24">
        <v>0.5</v>
      </c>
      <c r="I15" s="24"/>
      <c r="J15" s="24">
        <v>0.5</v>
      </c>
      <c r="K15" s="24"/>
      <c r="M15" s="12">
        <f>SUMIF(Projeto!$A$2:$A$5,Equipe!A15,Projeto!$E$2:$E$5)</f>
        <v>1095</v>
      </c>
      <c r="O15" s="26" t="str">
        <f t="shared" si="2"/>
        <v>OK!</v>
      </c>
      <c r="P15" s="26"/>
      <c r="Q15" s="26"/>
    </row>
    <row r="16" spans="1:17">
      <c r="A16" s="7" t="str">
        <f>A15</f>
        <v>EV-YYYY</v>
      </c>
      <c r="B16" s="7">
        <v>2</v>
      </c>
      <c r="C16" s="7" t="s">
        <v>65</v>
      </c>
      <c r="D16" s="20">
        <v>1</v>
      </c>
      <c r="E16" s="7">
        <v>20</v>
      </c>
      <c r="F16" s="7">
        <v>4</v>
      </c>
      <c r="G16" s="19">
        <f t="shared" si="0"/>
        <v>87600</v>
      </c>
      <c r="H16" s="24">
        <v>0.1</v>
      </c>
      <c r="I16" s="24">
        <v>0.1</v>
      </c>
      <c r="J16" s="24">
        <v>0.1</v>
      </c>
      <c r="K16" s="24">
        <v>0.7</v>
      </c>
      <c r="M16" s="12">
        <f>SUMIF(Projeto!$A$2:$A$5,Equipe!A16,Projeto!$E$2:$E$5)</f>
        <v>1095</v>
      </c>
      <c r="O16" s="26" t="str">
        <f t="shared" si="2"/>
        <v>OK!</v>
      </c>
      <c r="P16" s="26"/>
      <c r="Q16" s="26"/>
    </row>
    <row r="17" spans="1:17">
      <c r="A17" s="7" t="str">
        <f t="shared" ref="A17:A18" si="4">A16</f>
        <v>EV-YYYY</v>
      </c>
      <c r="B17" s="7">
        <v>3</v>
      </c>
      <c r="C17" s="7" t="s">
        <v>66</v>
      </c>
      <c r="D17" s="20">
        <v>0.6</v>
      </c>
      <c r="E17" s="7">
        <v>20</v>
      </c>
      <c r="F17" s="7">
        <v>5</v>
      </c>
      <c r="G17" s="19">
        <f t="shared" si="0"/>
        <v>65700</v>
      </c>
      <c r="H17" s="24">
        <v>0.7</v>
      </c>
      <c r="I17" s="24">
        <v>0.1</v>
      </c>
      <c r="J17" s="24">
        <v>0.1</v>
      </c>
      <c r="K17" s="24">
        <v>0.1</v>
      </c>
      <c r="M17" s="12">
        <f>SUMIF(Projeto!$A$2:$A$5,Equipe!A17,Projeto!$E$2:$E$5)</f>
        <v>1095</v>
      </c>
      <c r="O17" s="26" t="str">
        <f t="shared" si="2"/>
        <v>OK!</v>
      </c>
      <c r="P17" s="26"/>
      <c r="Q17" s="26"/>
    </row>
    <row r="18" spans="1:17">
      <c r="A18" s="7" t="str">
        <f t="shared" si="4"/>
        <v>EV-YYYY</v>
      </c>
      <c r="B18" s="7">
        <v>4</v>
      </c>
      <c r="C18" s="7" t="s">
        <v>67</v>
      </c>
      <c r="D18" s="20">
        <v>0.8</v>
      </c>
      <c r="E18" s="7">
        <v>20</v>
      </c>
      <c r="F18" s="7">
        <v>6</v>
      </c>
      <c r="G18" s="19">
        <f t="shared" si="0"/>
        <v>105120</v>
      </c>
      <c r="H18" s="24">
        <v>0.9</v>
      </c>
      <c r="I18" s="24"/>
      <c r="J18" s="24"/>
      <c r="K18" s="24">
        <v>0.1</v>
      </c>
      <c r="M18" s="12">
        <f>SUMIF(Projeto!$A$2:$A$5,Equipe!A18,Projeto!$E$2:$E$5)</f>
        <v>1095</v>
      </c>
      <c r="O18" s="26" t="str">
        <f t="shared" si="2"/>
        <v>OK!</v>
      </c>
      <c r="P18" s="26"/>
      <c r="Q18" s="26"/>
    </row>
    <row r="21" spans="1:17">
      <c r="H21" s="17" t="s">
        <v>149</v>
      </c>
      <c r="I21" s="17"/>
      <c r="J21" s="17"/>
      <c r="K21" s="17"/>
      <c r="L21" s="17"/>
      <c r="M21" s="35"/>
      <c r="N21" s="17"/>
      <c r="O21" s="35"/>
    </row>
  </sheetData>
  <phoneticPr fontId="2" type="noConversion"/>
  <conditionalFormatting sqref="O2:P2 O3:Q18">
    <cfRule type="cellIs" dxfId="1" priority="2" operator="equal">
      <formula>"ERRO!!!"</formula>
    </cfRule>
  </conditionalFormatting>
  <conditionalFormatting sqref="Q3">
    <cfRule type="cellIs" dxfId="0" priority="1" operator="equal">
      <formula>"ERRO!!!"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0FA5-CE43-4729-B724-2157D546A3A2}">
  <dimension ref="A1:N36"/>
  <sheetViews>
    <sheetView workbookViewId="0">
      <selection activeCell="A14" sqref="A14"/>
    </sheetView>
  </sheetViews>
  <sheetFormatPr defaultRowHeight="14.25"/>
  <cols>
    <col min="1" max="1" width="19.5" customWidth="1"/>
    <col min="2" max="3" width="11.5" style="1" customWidth="1"/>
    <col min="4" max="4" width="20.5" style="1" bestFit="1" customWidth="1"/>
    <col min="5" max="5" width="21.375" bestFit="1" customWidth="1"/>
    <col min="8" max="8" width="11.5" customWidth="1"/>
  </cols>
  <sheetData>
    <row r="1" spans="1:14" ht="15">
      <c r="A1" s="22" t="s">
        <v>73</v>
      </c>
      <c r="B1" s="22" t="s">
        <v>104</v>
      </c>
      <c r="C1" s="22" t="s">
        <v>53</v>
      </c>
      <c r="D1" s="22" t="s">
        <v>108</v>
      </c>
      <c r="E1" s="29" t="s">
        <v>111</v>
      </c>
      <c r="H1" s="33" t="s">
        <v>143</v>
      </c>
      <c r="K1" s="28" t="s">
        <v>110</v>
      </c>
      <c r="L1" t="str">
        <f>A2</f>
        <v>EV-00000</v>
      </c>
      <c r="M1" s="28" t="s">
        <v>109</v>
      </c>
      <c r="N1" s="1">
        <v>1</v>
      </c>
    </row>
    <row r="2" spans="1:14" ht="15">
      <c r="A2" s="7" t="s">
        <v>119</v>
      </c>
      <c r="B2" s="7">
        <v>1</v>
      </c>
      <c r="C2" s="7">
        <v>1</v>
      </c>
      <c r="D2" s="32">
        <v>0.5</v>
      </c>
      <c r="E2" s="19">
        <f>SUMIF(Equipe!$B$2:$B$5,AlocacaoEquipe!C2,Equipe!$G$2:$G$5)*D2</f>
        <v>54750</v>
      </c>
      <c r="H2" s="19">
        <f>SUMIF($A$2:$A$36,A2,$E$2:$E$36)</f>
        <v>292000</v>
      </c>
      <c r="K2" s="22" t="s">
        <v>73</v>
      </c>
      <c r="L2" s="22" t="s">
        <v>104</v>
      </c>
      <c r="M2" s="22" t="s">
        <v>53</v>
      </c>
      <c r="N2" s="22" t="s">
        <v>108</v>
      </c>
    </row>
    <row r="3" spans="1:14">
      <c r="A3" s="7" t="s">
        <v>119</v>
      </c>
      <c r="B3" s="7">
        <v>1</v>
      </c>
      <c r="C3" s="7">
        <v>2</v>
      </c>
      <c r="D3" s="32">
        <v>0.2</v>
      </c>
      <c r="E3" s="19">
        <f>SUMIF(Equipe!$B$2:$B$5,AlocacaoEquipe!C3,Equipe!$G$2:$G$5)*D3</f>
        <v>17520</v>
      </c>
      <c r="K3" t="str" cm="1">
        <f t="array" ref="K3:N6">_xlfn._xlws.FILTER($A$2:$D$36,($A$2:$A$36=L1)*($C$2:$C$36=N1))</f>
        <v>EV-00000</v>
      </c>
      <c r="L3">
        <v>1</v>
      </c>
      <c r="M3">
        <v>1</v>
      </c>
      <c r="N3">
        <v>0.5</v>
      </c>
    </row>
    <row r="4" spans="1:14">
      <c r="A4" s="7" t="s">
        <v>119</v>
      </c>
      <c r="B4" s="7">
        <v>2</v>
      </c>
      <c r="C4" s="7">
        <v>3</v>
      </c>
      <c r="D4" s="32">
        <v>0.4</v>
      </c>
      <c r="E4" s="19">
        <f>SUMIF(Equipe!$B$2:$B$5,AlocacaoEquipe!C4,Equipe!$G$2:$G$5)*D4</f>
        <v>29200</v>
      </c>
      <c r="K4" t="str">
        <v>EV-00000</v>
      </c>
      <c r="L4">
        <v>3</v>
      </c>
      <c r="M4">
        <v>1</v>
      </c>
      <c r="N4">
        <v>0.2</v>
      </c>
    </row>
    <row r="5" spans="1:14">
      <c r="A5" s="7" t="s">
        <v>119</v>
      </c>
      <c r="B5" s="7">
        <v>2</v>
      </c>
      <c r="C5" s="7">
        <v>4</v>
      </c>
      <c r="D5" s="32">
        <v>0.1</v>
      </c>
      <c r="E5" s="19">
        <f>SUMIF(Equipe!$B$2:$B$5,AlocacaoEquipe!C5,Equipe!$G$2:$G$5)*D5</f>
        <v>2190</v>
      </c>
      <c r="K5" t="str">
        <v>EV-00000</v>
      </c>
      <c r="L5">
        <v>5</v>
      </c>
      <c r="M5">
        <v>1</v>
      </c>
      <c r="N5">
        <v>0.1</v>
      </c>
    </row>
    <row r="6" spans="1:14">
      <c r="A6" s="7" t="s">
        <v>119</v>
      </c>
      <c r="B6" s="7">
        <v>3</v>
      </c>
      <c r="C6" s="7">
        <v>1</v>
      </c>
      <c r="D6" s="32">
        <v>0.2</v>
      </c>
      <c r="E6" s="19">
        <f>SUMIF(Equipe!$B$2:$B$5,AlocacaoEquipe!C6,Equipe!$G$2:$G$5)*D6</f>
        <v>21900</v>
      </c>
      <c r="K6" t="str">
        <v>EV-00000</v>
      </c>
      <c r="L6">
        <v>6</v>
      </c>
      <c r="M6">
        <v>1</v>
      </c>
      <c r="N6">
        <v>0.2</v>
      </c>
    </row>
    <row r="7" spans="1:14">
      <c r="A7" s="7" t="s">
        <v>119</v>
      </c>
      <c r="B7" s="7">
        <v>3</v>
      </c>
      <c r="C7" s="7">
        <v>2</v>
      </c>
      <c r="D7" s="32">
        <v>0.4</v>
      </c>
      <c r="E7" s="19">
        <f>SUMIF(Equipe!$B$2:$B$5,AlocacaoEquipe!C7,Equipe!$G$2:$G$5)*D7</f>
        <v>35040</v>
      </c>
    </row>
    <row r="8" spans="1:14">
      <c r="A8" s="7" t="s">
        <v>119</v>
      </c>
      <c r="B8" s="7">
        <v>4</v>
      </c>
      <c r="C8" s="7">
        <v>3</v>
      </c>
      <c r="D8" s="32">
        <v>0.6</v>
      </c>
      <c r="E8" s="19">
        <f>SUMIF(Equipe!$B$2:$B$5,AlocacaoEquipe!C8,Equipe!$G$2:$G$5)*D8</f>
        <v>43800</v>
      </c>
    </row>
    <row r="9" spans="1:14">
      <c r="A9" s="7" t="s">
        <v>119</v>
      </c>
      <c r="B9" s="7">
        <v>4</v>
      </c>
      <c r="C9" s="7">
        <v>4</v>
      </c>
      <c r="D9" s="32">
        <v>0.4</v>
      </c>
      <c r="E9" s="19">
        <f>SUMIF(Equipe!$B$2:$B$5,AlocacaoEquipe!C9,Equipe!$G$2:$G$5)*D9</f>
        <v>8760</v>
      </c>
    </row>
    <row r="10" spans="1:14">
      <c r="A10" s="7" t="s">
        <v>119</v>
      </c>
      <c r="B10" s="7">
        <v>5</v>
      </c>
      <c r="C10" s="7">
        <v>1</v>
      </c>
      <c r="D10" s="32">
        <v>0.1</v>
      </c>
      <c r="E10" s="19">
        <f>SUMIF(Equipe!$B$2:$B$5,AlocacaoEquipe!C10,Equipe!$G$2:$G$5)*D10</f>
        <v>10950</v>
      </c>
    </row>
    <row r="11" spans="1:14">
      <c r="A11" s="7" t="s">
        <v>119</v>
      </c>
      <c r="B11" s="7">
        <v>5</v>
      </c>
      <c r="C11" s="7">
        <v>2</v>
      </c>
      <c r="D11" s="32">
        <v>0.4</v>
      </c>
      <c r="E11" s="19">
        <f>SUMIF(Equipe!$B$2:$B$5,AlocacaoEquipe!C11,Equipe!$G$2:$G$5)*D11</f>
        <v>35040</v>
      </c>
    </row>
    <row r="12" spans="1:14">
      <c r="A12" s="7" t="s">
        <v>119</v>
      </c>
      <c r="B12" s="7">
        <v>6</v>
      </c>
      <c r="C12" s="7">
        <v>1</v>
      </c>
      <c r="D12" s="32">
        <v>0.2</v>
      </c>
      <c r="E12" s="19">
        <f>SUMIF(Equipe!$B$2:$B$5,AlocacaoEquipe!C12,Equipe!$G$2:$G$5)*D12</f>
        <v>21900</v>
      </c>
    </row>
    <row r="13" spans="1:14">
      <c r="A13" s="7" t="s">
        <v>119</v>
      </c>
      <c r="B13" s="7">
        <v>7</v>
      </c>
      <c r="C13" s="7">
        <v>4</v>
      </c>
      <c r="D13" s="32">
        <v>0.25</v>
      </c>
      <c r="E13" s="19">
        <f>SUMIF(Equipe!$B$2:$B$5,AlocacaoEquipe!C13,Equipe!$G$2:$G$5)*D13</f>
        <v>5475</v>
      </c>
    </row>
    <row r="14" spans="1:14">
      <c r="A14" s="7" t="s">
        <v>119</v>
      </c>
      <c r="B14" s="7">
        <v>8</v>
      </c>
      <c r="C14" s="7">
        <v>4</v>
      </c>
      <c r="D14" s="32">
        <v>0.25</v>
      </c>
      <c r="E14" s="19">
        <f>SUMIF(Equipe!$B$2:$B$5,AlocacaoEquipe!C14,Equipe!$G$2:$G$5)*D14</f>
        <v>5475</v>
      </c>
      <c r="K14" s="36"/>
      <c r="L14" s="36"/>
      <c r="M14" s="37" t="s">
        <v>144</v>
      </c>
      <c r="N14" s="38">
        <f>SUM(N3:N13)</f>
        <v>1</v>
      </c>
    </row>
    <row r="15" spans="1:14">
      <c r="A15" s="7" t="s">
        <v>29</v>
      </c>
      <c r="B15" s="7">
        <v>1</v>
      </c>
      <c r="C15" s="7">
        <v>1</v>
      </c>
      <c r="D15" s="32">
        <v>0.5</v>
      </c>
      <c r="E15" s="32"/>
    </row>
    <row r="16" spans="1:14">
      <c r="A16" s="7" t="s">
        <v>29</v>
      </c>
      <c r="B16" s="7">
        <v>1</v>
      </c>
      <c r="C16" s="7">
        <v>2</v>
      </c>
      <c r="D16" s="32">
        <v>0.15</v>
      </c>
      <c r="E16" s="32"/>
    </row>
    <row r="17" spans="1:5">
      <c r="A17" s="7" t="s">
        <v>29</v>
      </c>
      <c r="B17" s="7">
        <v>1</v>
      </c>
      <c r="C17" s="7">
        <v>3</v>
      </c>
      <c r="D17" s="32">
        <v>0.5</v>
      </c>
      <c r="E17" s="32"/>
    </row>
    <row r="18" spans="1:5">
      <c r="A18" s="7" t="s">
        <v>29</v>
      </c>
      <c r="B18" s="7">
        <v>2</v>
      </c>
      <c r="C18" s="7">
        <v>1</v>
      </c>
      <c r="D18" s="32">
        <v>0.45</v>
      </c>
      <c r="E18" s="32"/>
    </row>
    <row r="19" spans="1:5">
      <c r="A19" s="7" t="s">
        <v>29</v>
      </c>
      <c r="B19" s="7">
        <v>2</v>
      </c>
      <c r="C19" s="7">
        <v>4</v>
      </c>
      <c r="D19" s="32">
        <v>0.5</v>
      </c>
      <c r="E19" s="32"/>
    </row>
    <row r="20" spans="1:5">
      <c r="A20" s="7" t="str">
        <f t="shared" ref="A20:A28" si="0">A19</f>
        <v>EV-01307</v>
      </c>
      <c r="B20" s="7">
        <v>3</v>
      </c>
      <c r="C20" s="7">
        <v>2</v>
      </c>
      <c r="D20" s="32">
        <v>0.5</v>
      </c>
      <c r="E20" s="32"/>
    </row>
    <row r="21" spans="1:5">
      <c r="A21" s="7" t="str">
        <f>A20</f>
        <v>EV-01307</v>
      </c>
      <c r="B21" s="7">
        <v>4</v>
      </c>
      <c r="C21" s="7">
        <v>2</v>
      </c>
      <c r="D21" s="32">
        <v>0.3</v>
      </c>
      <c r="E21" s="32"/>
    </row>
    <row r="22" spans="1:5">
      <c r="A22" s="7" t="str">
        <f t="shared" si="0"/>
        <v>EV-01307</v>
      </c>
      <c r="B22" s="7">
        <v>3</v>
      </c>
      <c r="C22" s="7">
        <v>3</v>
      </c>
      <c r="D22" s="32">
        <v>0.5</v>
      </c>
      <c r="E22" s="32"/>
    </row>
    <row r="23" spans="1:5">
      <c r="A23" s="7" t="str">
        <f t="shared" si="0"/>
        <v>EV-01307</v>
      </c>
      <c r="B23" s="7">
        <v>3</v>
      </c>
      <c r="C23" s="7">
        <v>5</v>
      </c>
      <c r="D23" s="32">
        <v>0.25</v>
      </c>
      <c r="E23" s="32"/>
    </row>
    <row r="24" spans="1:5">
      <c r="A24" s="7" t="str">
        <f t="shared" si="0"/>
        <v>EV-01307</v>
      </c>
      <c r="B24" s="7">
        <v>4</v>
      </c>
      <c r="C24" s="7">
        <v>1</v>
      </c>
      <c r="D24" s="32">
        <v>0.05</v>
      </c>
      <c r="E24" s="32"/>
    </row>
    <row r="25" spans="1:5">
      <c r="A25" s="7" t="str">
        <f t="shared" si="0"/>
        <v>EV-01307</v>
      </c>
      <c r="B25" s="7">
        <v>4</v>
      </c>
      <c r="C25" s="7">
        <v>5</v>
      </c>
      <c r="D25" s="32">
        <v>0.35</v>
      </c>
      <c r="E25" s="32"/>
    </row>
    <row r="26" spans="1:5">
      <c r="A26" s="7" t="str">
        <f t="shared" si="0"/>
        <v>EV-01307</v>
      </c>
      <c r="B26" s="7">
        <v>5</v>
      </c>
      <c r="C26" s="7">
        <v>4</v>
      </c>
      <c r="D26" s="32">
        <v>0.5</v>
      </c>
      <c r="E26" s="32"/>
    </row>
    <row r="27" spans="1:5">
      <c r="A27" s="7" t="str">
        <f t="shared" si="0"/>
        <v>EV-01307</v>
      </c>
      <c r="B27" s="7">
        <v>5</v>
      </c>
      <c r="C27" s="7">
        <v>2</v>
      </c>
      <c r="D27" s="32">
        <v>0.05</v>
      </c>
      <c r="E27" s="32"/>
    </row>
    <row r="28" spans="1:5">
      <c r="A28" s="7" t="str">
        <f t="shared" si="0"/>
        <v>EV-01307</v>
      </c>
      <c r="B28" s="7">
        <v>5</v>
      </c>
      <c r="C28" s="7">
        <v>5</v>
      </c>
      <c r="D28" s="32">
        <v>0.4</v>
      </c>
      <c r="E28" s="32"/>
    </row>
    <row r="29" spans="1:5">
      <c r="A29" s="7" t="s">
        <v>30</v>
      </c>
      <c r="B29" s="7">
        <v>1</v>
      </c>
      <c r="C29" s="7">
        <v>1</v>
      </c>
      <c r="D29" s="32">
        <v>1</v>
      </c>
      <c r="E29" s="32"/>
    </row>
    <row r="30" spans="1:5">
      <c r="A30" s="7" t="str">
        <f t="shared" ref="A30:A32" si="1">A29</f>
        <v>EV-XXXX</v>
      </c>
      <c r="B30" s="7">
        <v>2</v>
      </c>
      <c r="C30" s="7">
        <v>2</v>
      </c>
      <c r="D30" s="32">
        <v>1</v>
      </c>
      <c r="E30" s="32"/>
    </row>
    <row r="31" spans="1:5">
      <c r="A31" s="7" t="str">
        <f t="shared" si="1"/>
        <v>EV-XXXX</v>
      </c>
      <c r="B31" s="7">
        <v>3</v>
      </c>
      <c r="C31" s="7">
        <v>3</v>
      </c>
      <c r="D31" s="32">
        <v>1</v>
      </c>
      <c r="E31" s="32"/>
    </row>
    <row r="32" spans="1:5">
      <c r="A32" s="7" t="str">
        <f t="shared" si="1"/>
        <v>EV-XXXX</v>
      </c>
      <c r="B32" s="7">
        <v>4</v>
      </c>
      <c r="C32" s="7">
        <v>4</v>
      </c>
      <c r="D32" s="32">
        <v>1</v>
      </c>
      <c r="E32" s="32"/>
    </row>
    <row r="33" spans="1:5">
      <c r="A33" s="7" t="s">
        <v>31</v>
      </c>
      <c r="B33" s="7">
        <v>1</v>
      </c>
      <c r="C33" s="7">
        <v>1</v>
      </c>
      <c r="D33" s="32">
        <v>1</v>
      </c>
      <c r="E33" s="32"/>
    </row>
    <row r="34" spans="1:5">
      <c r="A34" s="7" t="str">
        <f>A33</f>
        <v>EV-YYYY</v>
      </c>
      <c r="B34" s="7">
        <v>2</v>
      </c>
      <c r="C34" s="7">
        <v>2</v>
      </c>
      <c r="D34" s="32">
        <v>1</v>
      </c>
      <c r="E34" s="32"/>
    </row>
    <row r="35" spans="1:5">
      <c r="A35" s="7" t="str">
        <f t="shared" ref="A35:A36" si="2">A34</f>
        <v>EV-YYYY</v>
      </c>
      <c r="B35" s="7">
        <v>3</v>
      </c>
      <c r="C35" s="7">
        <v>3</v>
      </c>
      <c r="D35" s="32">
        <v>1</v>
      </c>
      <c r="E35" s="32"/>
    </row>
    <row r="36" spans="1:5">
      <c r="A36" s="7" t="str">
        <f t="shared" si="2"/>
        <v>EV-YYYY</v>
      </c>
      <c r="B36" s="7">
        <v>4</v>
      </c>
      <c r="C36" s="7">
        <v>4</v>
      </c>
      <c r="D36" s="32">
        <v>1</v>
      </c>
      <c r="E36" s="3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D1B3-2DDC-4395-8B11-21D5BBE78FB6}">
  <dimension ref="A1:AB33"/>
  <sheetViews>
    <sheetView tabSelected="1" workbookViewId="0">
      <selection activeCell="D14" sqref="D14"/>
    </sheetView>
  </sheetViews>
  <sheetFormatPr defaultRowHeight="14.25"/>
  <cols>
    <col min="1" max="1" width="13.875" style="1" customWidth="1"/>
    <col min="2" max="3" width="8.875" style="1"/>
    <col min="4" max="4" width="28.75" customWidth="1"/>
    <col min="5" max="5" width="12.25" style="1" bestFit="1" customWidth="1"/>
    <col min="6" max="7" width="18" style="1" bestFit="1" customWidth="1"/>
    <col min="8" max="8" width="15.75" style="1" customWidth="1"/>
    <col min="9" max="25" width="8.875" style="1"/>
  </cols>
  <sheetData>
    <row r="1" spans="1:28" ht="15">
      <c r="A1" s="22" t="s">
        <v>73</v>
      </c>
      <c r="B1" s="6" t="s">
        <v>105</v>
      </c>
      <c r="C1" s="22" t="s">
        <v>104</v>
      </c>
      <c r="D1" s="6" t="s">
        <v>106</v>
      </c>
      <c r="E1" s="6" t="s">
        <v>107</v>
      </c>
      <c r="F1" s="6" t="s">
        <v>129</v>
      </c>
      <c r="G1" s="6" t="s">
        <v>130</v>
      </c>
      <c r="H1" s="6" t="s">
        <v>131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145</v>
      </c>
      <c r="O1" s="6" t="s">
        <v>146</v>
      </c>
      <c r="P1" s="6" t="s">
        <v>147</v>
      </c>
      <c r="Q1" s="6" t="s">
        <v>148</v>
      </c>
      <c r="R1" s="6" t="s">
        <v>37</v>
      </c>
      <c r="S1" s="6" t="s">
        <v>38</v>
      </c>
      <c r="T1" s="6" t="s">
        <v>39</v>
      </c>
      <c r="U1" s="6" t="s">
        <v>44</v>
      </c>
      <c r="V1" s="6" t="s">
        <v>40</v>
      </c>
      <c r="W1" s="6" t="s">
        <v>41</v>
      </c>
      <c r="X1" s="6" t="s">
        <v>42</v>
      </c>
      <c r="Y1" s="6" t="s">
        <v>43</v>
      </c>
      <c r="Z1" s="39" t="s">
        <v>150</v>
      </c>
      <c r="AA1" s="39" t="s">
        <v>151</v>
      </c>
      <c r="AB1" s="39" t="s">
        <v>152</v>
      </c>
    </row>
    <row r="2" spans="1:28">
      <c r="A2" s="7" t="s">
        <v>119</v>
      </c>
      <c r="B2" s="7">
        <v>1</v>
      </c>
      <c r="C2" s="7">
        <v>1</v>
      </c>
      <c r="D2" s="21" t="s">
        <v>120</v>
      </c>
      <c r="E2" s="8">
        <v>0</v>
      </c>
      <c r="F2" s="30">
        <v>45658</v>
      </c>
      <c r="G2" s="30">
        <v>45747</v>
      </c>
      <c r="H2" s="34">
        <f>F2-Projeto!$B$2</f>
        <v>0</v>
      </c>
      <c r="I2" s="34">
        <f>SUMIF(AlocacaoEquipe!$B$2:$B$14,Atividades!C2,AlocacaoEquipe!$E$2:$E$14)</f>
        <v>72270</v>
      </c>
      <c r="J2" s="5">
        <v>15</v>
      </c>
      <c r="K2" s="5">
        <v>20</v>
      </c>
      <c r="L2" s="5">
        <v>10</v>
      </c>
      <c r="M2" s="5">
        <v>10</v>
      </c>
      <c r="N2" s="5">
        <v>0</v>
      </c>
      <c r="O2" s="5">
        <v>0</v>
      </c>
      <c r="P2" s="5">
        <v>0</v>
      </c>
      <c r="Q2" s="5">
        <v>0</v>
      </c>
      <c r="R2" s="5">
        <v>0.3</v>
      </c>
      <c r="S2" s="5">
        <v>0.15</v>
      </c>
      <c r="T2" s="5">
        <v>0.1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</row>
    <row r="3" spans="1:28">
      <c r="A3" s="7" t="s">
        <v>119</v>
      </c>
      <c r="B3" s="7">
        <v>2</v>
      </c>
      <c r="C3" s="7">
        <v>2</v>
      </c>
      <c r="D3" s="21" t="s">
        <v>121</v>
      </c>
      <c r="E3" s="8">
        <v>0</v>
      </c>
      <c r="F3" s="30">
        <v>45658</v>
      </c>
      <c r="G3" s="30">
        <v>45703</v>
      </c>
      <c r="H3" s="34">
        <f>F3-Projeto!$B$2</f>
        <v>0</v>
      </c>
      <c r="I3" s="34">
        <f>SUMIF(AlocacaoEquipe!$B$2:$B$14,Atividades!C3,AlocacaoEquipe!$E$2:$E$14)</f>
        <v>31390</v>
      </c>
      <c r="J3" s="5">
        <f>J2</f>
        <v>15</v>
      </c>
      <c r="K3" s="5">
        <f>K2</f>
        <v>20</v>
      </c>
      <c r="L3" s="5">
        <f>L2</f>
        <v>10</v>
      </c>
      <c r="M3" s="5">
        <f>M2</f>
        <v>10</v>
      </c>
      <c r="N3" s="5">
        <v>0</v>
      </c>
      <c r="O3" s="5">
        <v>0</v>
      </c>
      <c r="P3" s="5">
        <v>0</v>
      </c>
      <c r="Q3" s="5">
        <v>0</v>
      </c>
      <c r="R3" s="5">
        <f t="shared" ref="R3:T4" si="0">R2</f>
        <v>0.3</v>
      </c>
      <c r="S3" s="5">
        <f t="shared" si="0"/>
        <v>0.15</v>
      </c>
      <c r="T3" s="5">
        <f t="shared" si="0"/>
        <v>0.1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</row>
    <row r="4" spans="1:28">
      <c r="A4" s="7" t="s">
        <v>119</v>
      </c>
      <c r="B4" s="7">
        <v>2</v>
      </c>
      <c r="C4" s="7">
        <v>3</v>
      </c>
      <c r="D4" s="21" t="s">
        <v>122</v>
      </c>
      <c r="E4" s="8">
        <v>0</v>
      </c>
      <c r="F4" s="30">
        <v>45658</v>
      </c>
      <c r="G4" s="30">
        <v>45721</v>
      </c>
      <c r="H4" s="34">
        <f>F4-Projeto!$B$2</f>
        <v>0</v>
      </c>
      <c r="I4" s="34">
        <f>SUMIF(AlocacaoEquipe!$B$2:$B$14,Atividades!C4,AlocacaoEquipe!$E$2:$E$14)</f>
        <v>56940</v>
      </c>
      <c r="J4" s="5">
        <f t="shared" ref="J4:M9" si="1">J3</f>
        <v>15</v>
      </c>
      <c r="K4" s="5">
        <f t="shared" si="1"/>
        <v>20</v>
      </c>
      <c r="L4" s="5">
        <f t="shared" si="1"/>
        <v>10</v>
      </c>
      <c r="M4" s="5">
        <f t="shared" si="1"/>
        <v>10</v>
      </c>
      <c r="N4" s="5">
        <v>0</v>
      </c>
      <c r="O4" s="5">
        <v>0</v>
      </c>
      <c r="P4" s="5">
        <v>0</v>
      </c>
      <c r="Q4" s="5">
        <v>0</v>
      </c>
      <c r="R4" s="5">
        <f t="shared" si="0"/>
        <v>0.3</v>
      </c>
      <c r="S4" s="5">
        <f t="shared" si="0"/>
        <v>0.15</v>
      </c>
      <c r="T4" s="5">
        <f t="shared" si="0"/>
        <v>0.1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>
      <c r="A5" s="7" t="s">
        <v>119</v>
      </c>
      <c r="B5" s="7">
        <v>2</v>
      </c>
      <c r="C5" s="7">
        <v>4</v>
      </c>
      <c r="D5" s="21" t="s">
        <v>123</v>
      </c>
      <c r="E5" s="8" t="s">
        <v>128</v>
      </c>
      <c r="F5" s="31">
        <f>MAX(G2:G4)+1</f>
        <v>45748</v>
      </c>
      <c r="G5" s="30">
        <f>F5+70</f>
        <v>45818</v>
      </c>
      <c r="H5" s="34">
        <f>F5-Projeto!$B$2</f>
        <v>90</v>
      </c>
      <c r="I5" s="34">
        <f>SUMIF(AlocacaoEquipe!$B$2:$B$14,Atividades!C5,AlocacaoEquipe!$E$2:$E$14)</f>
        <v>52560</v>
      </c>
      <c r="J5" s="5">
        <f t="shared" si="1"/>
        <v>15</v>
      </c>
      <c r="K5" s="5">
        <f t="shared" si="1"/>
        <v>20</v>
      </c>
      <c r="L5" s="5">
        <f t="shared" si="1"/>
        <v>10</v>
      </c>
      <c r="M5" s="5">
        <f t="shared" si="1"/>
        <v>10</v>
      </c>
      <c r="N5" s="5">
        <v>0</v>
      </c>
      <c r="O5" s="5">
        <v>0</v>
      </c>
      <c r="P5" s="5">
        <v>0</v>
      </c>
      <c r="Q5" s="5">
        <v>0</v>
      </c>
      <c r="R5" s="5">
        <f t="shared" ref="R5:T5" si="2">R4</f>
        <v>0.3</v>
      </c>
      <c r="S5" s="5">
        <f t="shared" si="2"/>
        <v>0.15</v>
      </c>
      <c r="T5" s="5">
        <f t="shared" si="2"/>
        <v>0.1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</row>
    <row r="6" spans="1:28">
      <c r="A6" s="7" t="s">
        <v>119</v>
      </c>
      <c r="B6" s="7">
        <v>2</v>
      </c>
      <c r="C6" s="7">
        <v>5</v>
      </c>
      <c r="D6" s="21" t="s">
        <v>124</v>
      </c>
      <c r="E6" s="8">
        <v>0</v>
      </c>
      <c r="F6" s="30">
        <f>G5-60</f>
        <v>45758</v>
      </c>
      <c r="G6" s="31">
        <f>G5</f>
        <v>45818</v>
      </c>
      <c r="H6" s="34">
        <f>F6-Projeto!$B$2</f>
        <v>100</v>
      </c>
      <c r="I6" s="34">
        <f>SUMIF(AlocacaoEquipe!$B$2:$B$14,Atividades!C6,AlocacaoEquipe!$E$2:$E$14)</f>
        <v>45990</v>
      </c>
      <c r="J6" s="5">
        <f t="shared" si="1"/>
        <v>15</v>
      </c>
      <c r="K6" s="5">
        <f t="shared" si="1"/>
        <v>20</v>
      </c>
      <c r="L6" s="5">
        <f t="shared" si="1"/>
        <v>10</v>
      </c>
      <c r="M6" s="5">
        <f t="shared" si="1"/>
        <v>10</v>
      </c>
      <c r="N6" s="5">
        <v>0</v>
      </c>
      <c r="O6" s="5">
        <v>0</v>
      </c>
      <c r="P6" s="5">
        <v>0</v>
      </c>
      <c r="Q6" s="5">
        <v>0</v>
      </c>
      <c r="R6" s="5">
        <f t="shared" ref="R6:T6" si="3">R5</f>
        <v>0.3</v>
      </c>
      <c r="S6" s="5">
        <f t="shared" si="3"/>
        <v>0.15</v>
      </c>
      <c r="T6" s="5">
        <f t="shared" si="3"/>
        <v>0.1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</row>
    <row r="7" spans="1:28">
      <c r="A7" s="7" t="s">
        <v>119</v>
      </c>
      <c r="B7" s="7">
        <v>3</v>
      </c>
      <c r="C7" s="7">
        <v>6</v>
      </c>
      <c r="D7" s="21" t="s">
        <v>125</v>
      </c>
      <c r="E7" s="8">
        <v>4.5</v>
      </c>
      <c r="F7" s="31">
        <f>G6+1</f>
        <v>45819</v>
      </c>
      <c r="G7" s="31">
        <f>F7+100</f>
        <v>45919</v>
      </c>
      <c r="H7" s="34">
        <f>F7-Projeto!$B$2</f>
        <v>161</v>
      </c>
      <c r="I7" s="34">
        <f>SUMIF(AlocacaoEquipe!$B$2:$B$14,Atividades!C7,AlocacaoEquipe!$E$2:$E$14)</f>
        <v>21900</v>
      </c>
      <c r="J7" s="5">
        <f t="shared" si="1"/>
        <v>15</v>
      </c>
      <c r="K7" s="5">
        <f t="shared" si="1"/>
        <v>20</v>
      </c>
      <c r="L7" s="5">
        <f t="shared" si="1"/>
        <v>10</v>
      </c>
      <c r="M7" s="5">
        <f t="shared" si="1"/>
        <v>10</v>
      </c>
      <c r="N7" s="5">
        <v>0</v>
      </c>
      <c r="O7" s="5">
        <v>0</v>
      </c>
      <c r="P7" s="5">
        <v>0</v>
      </c>
      <c r="Q7" s="5">
        <v>0</v>
      </c>
      <c r="R7" s="5">
        <f t="shared" ref="R7:T7" si="4">R6</f>
        <v>0.3</v>
      </c>
      <c r="S7" s="5">
        <f t="shared" si="4"/>
        <v>0.15</v>
      </c>
      <c r="T7" s="5">
        <f t="shared" si="4"/>
        <v>0.1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</row>
    <row r="8" spans="1:28">
      <c r="A8" s="7" t="s">
        <v>119</v>
      </c>
      <c r="B8" s="7">
        <v>3</v>
      </c>
      <c r="C8" s="7">
        <v>7</v>
      </c>
      <c r="D8" s="21" t="s">
        <v>126</v>
      </c>
      <c r="E8" s="8">
        <v>6</v>
      </c>
      <c r="F8" s="31">
        <f>G7+1</f>
        <v>45920</v>
      </c>
      <c r="G8" s="31">
        <f>F8+55</f>
        <v>45975</v>
      </c>
      <c r="H8" s="34">
        <f>F8-Projeto!$B$2</f>
        <v>262</v>
      </c>
      <c r="I8" s="34">
        <f>SUMIF(AlocacaoEquipe!$B$2:$B$14,Atividades!C8,AlocacaoEquipe!$E$2:$E$14)</f>
        <v>5475</v>
      </c>
      <c r="J8" s="5">
        <f t="shared" si="1"/>
        <v>15</v>
      </c>
      <c r="K8" s="5">
        <f t="shared" si="1"/>
        <v>20</v>
      </c>
      <c r="L8" s="5">
        <f t="shared" si="1"/>
        <v>10</v>
      </c>
      <c r="M8" s="5">
        <f t="shared" si="1"/>
        <v>10</v>
      </c>
      <c r="N8" s="5">
        <v>0</v>
      </c>
      <c r="O8" s="5">
        <v>0</v>
      </c>
      <c r="P8" s="5">
        <v>0</v>
      </c>
      <c r="Q8" s="5">
        <v>0</v>
      </c>
      <c r="R8" s="5">
        <f t="shared" ref="R8:T8" si="5">R7</f>
        <v>0.3</v>
      </c>
      <c r="S8" s="5">
        <f t="shared" si="5"/>
        <v>0.15</v>
      </c>
      <c r="T8" s="5">
        <f t="shared" si="5"/>
        <v>0.1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</row>
    <row r="9" spans="1:28">
      <c r="A9" s="7" t="s">
        <v>153</v>
      </c>
      <c r="B9" s="7">
        <v>3</v>
      </c>
      <c r="C9" s="7">
        <v>8</v>
      </c>
      <c r="D9" s="21" t="s">
        <v>127</v>
      </c>
      <c r="E9" s="8">
        <v>7</v>
      </c>
      <c r="F9" s="31">
        <f>G8+1</f>
        <v>45976</v>
      </c>
      <c r="G9" s="31">
        <f>F9+45</f>
        <v>46021</v>
      </c>
      <c r="H9" s="34">
        <f>F9-Projeto!$B$2</f>
        <v>318</v>
      </c>
      <c r="I9" s="34">
        <f>SUMIF(AlocacaoEquipe!$B$2:$B$14,Atividades!C9,AlocacaoEquipe!$E$2:$E$14)</f>
        <v>5475</v>
      </c>
      <c r="J9" s="5">
        <f t="shared" si="1"/>
        <v>15</v>
      </c>
      <c r="K9" s="5">
        <f t="shared" si="1"/>
        <v>20</v>
      </c>
      <c r="L9" s="5">
        <f t="shared" si="1"/>
        <v>10</v>
      </c>
      <c r="M9" s="5">
        <f t="shared" si="1"/>
        <v>10</v>
      </c>
      <c r="N9" s="5">
        <v>0</v>
      </c>
      <c r="O9" s="5">
        <v>0</v>
      </c>
      <c r="P9" s="5">
        <v>0</v>
      </c>
      <c r="Q9" s="5">
        <v>0</v>
      </c>
      <c r="R9" s="5">
        <f t="shared" ref="R9:T9" si="6">R8</f>
        <v>0.3</v>
      </c>
      <c r="S9" s="5">
        <f t="shared" si="6"/>
        <v>0.15</v>
      </c>
      <c r="T9" s="5">
        <f t="shared" si="6"/>
        <v>0.1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</row>
    <row r="10" spans="1:28">
      <c r="A10" s="7" t="s">
        <v>29</v>
      </c>
      <c r="B10" s="7">
        <v>1</v>
      </c>
      <c r="C10" s="7">
        <v>1</v>
      </c>
      <c r="D10" s="21" t="s">
        <v>12</v>
      </c>
      <c r="E10" s="8">
        <v>0</v>
      </c>
      <c r="F10" s="30">
        <v>44897</v>
      </c>
      <c r="G10" s="30">
        <v>45993</v>
      </c>
      <c r="H10" s="34"/>
      <c r="I10" s="3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>
      <c r="A11" s="7" t="s">
        <v>29</v>
      </c>
      <c r="B11" s="7">
        <v>2</v>
      </c>
      <c r="C11" s="7">
        <v>2</v>
      </c>
      <c r="D11" s="21" t="s">
        <v>13</v>
      </c>
      <c r="E11" s="8">
        <v>0</v>
      </c>
      <c r="F11" s="30">
        <v>44895</v>
      </c>
      <c r="G11" s="30">
        <v>44960</v>
      </c>
      <c r="H11" s="34"/>
      <c r="I11" s="3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>
      <c r="A12" s="7" t="s">
        <v>29</v>
      </c>
      <c r="B12" s="7">
        <v>2</v>
      </c>
      <c r="C12" s="7">
        <v>3</v>
      </c>
      <c r="D12" s="21" t="s">
        <v>14</v>
      </c>
      <c r="E12" s="8" t="s">
        <v>1</v>
      </c>
      <c r="F12" s="30">
        <v>44927</v>
      </c>
      <c r="G12" s="30">
        <v>45078</v>
      </c>
      <c r="H12" s="34"/>
      <c r="I12" s="3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>
      <c r="A13" s="7" t="s">
        <v>29</v>
      </c>
      <c r="B13" s="7">
        <v>2</v>
      </c>
      <c r="C13" s="7">
        <v>4</v>
      </c>
      <c r="D13" s="21" t="s">
        <v>15</v>
      </c>
      <c r="E13" s="8" t="s">
        <v>0</v>
      </c>
      <c r="F13" s="30">
        <v>45048</v>
      </c>
      <c r="G13" s="30">
        <v>45200</v>
      </c>
      <c r="H13" s="34"/>
      <c r="I13" s="3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>
      <c r="A14" s="7" t="s">
        <v>29</v>
      </c>
      <c r="B14" s="7">
        <v>2</v>
      </c>
      <c r="C14" s="7">
        <v>5</v>
      </c>
      <c r="D14" s="40" t="s">
        <v>16</v>
      </c>
      <c r="E14" s="8" t="s">
        <v>2</v>
      </c>
      <c r="F14" s="30">
        <v>45160</v>
      </c>
      <c r="G14" s="30">
        <v>45190</v>
      </c>
      <c r="H14" s="34"/>
      <c r="I14" s="3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>
      <c r="A15" s="7" t="str">
        <f t="shared" ref="A15:A25" si="7">A14</f>
        <v>EV-01307</v>
      </c>
      <c r="B15" s="7">
        <v>3</v>
      </c>
      <c r="C15" s="7">
        <v>6</v>
      </c>
      <c r="D15" s="21" t="s">
        <v>17</v>
      </c>
      <c r="E15" s="8">
        <v>0</v>
      </c>
      <c r="F15" s="30">
        <v>44888</v>
      </c>
      <c r="G15" s="30">
        <v>45261</v>
      </c>
      <c r="H15" s="34"/>
      <c r="I15" s="3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>
      <c r="A16" s="7" t="str">
        <f t="shared" si="7"/>
        <v>EV-01307</v>
      </c>
      <c r="B16" s="7">
        <v>3</v>
      </c>
      <c r="C16" s="7">
        <v>7</v>
      </c>
      <c r="D16" s="21" t="s">
        <v>18</v>
      </c>
      <c r="E16" s="8" t="s">
        <v>2</v>
      </c>
      <c r="F16" s="30">
        <v>45042</v>
      </c>
      <c r="G16" s="30">
        <v>45266</v>
      </c>
      <c r="H16" s="34"/>
      <c r="I16" s="3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>
      <c r="A17" s="7" t="str">
        <f t="shared" si="7"/>
        <v>EV-01307</v>
      </c>
      <c r="B17" s="7">
        <v>3</v>
      </c>
      <c r="C17" s="7">
        <v>8</v>
      </c>
      <c r="D17" s="21" t="s">
        <v>19</v>
      </c>
      <c r="E17" s="8" t="s">
        <v>5</v>
      </c>
      <c r="F17" s="30">
        <v>45223</v>
      </c>
      <c r="G17" s="30">
        <v>45287</v>
      </c>
      <c r="H17" s="34"/>
      <c r="I17" s="3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s="7" t="str">
        <f t="shared" si="7"/>
        <v>EV-01307</v>
      </c>
      <c r="B18" s="7">
        <v>3</v>
      </c>
      <c r="C18" s="7">
        <v>9</v>
      </c>
      <c r="D18" s="21" t="s">
        <v>20</v>
      </c>
      <c r="E18" s="8" t="s">
        <v>4</v>
      </c>
      <c r="F18" s="30">
        <v>45260</v>
      </c>
      <c r="G18" s="30">
        <v>45324</v>
      </c>
      <c r="H18" s="34"/>
      <c r="I18" s="3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7" t="str">
        <f t="shared" si="7"/>
        <v>EV-01307</v>
      </c>
      <c r="B19" s="7">
        <v>3</v>
      </c>
      <c r="C19" s="7">
        <v>10</v>
      </c>
      <c r="D19" s="21" t="s">
        <v>21</v>
      </c>
      <c r="E19" s="8" t="s">
        <v>6</v>
      </c>
      <c r="F19" s="30">
        <v>45296</v>
      </c>
      <c r="G19" s="30">
        <v>45341</v>
      </c>
      <c r="H19" s="34"/>
      <c r="I19" s="3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7" t="str">
        <f t="shared" si="7"/>
        <v>EV-01307</v>
      </c>
      <c r="B20" s="7">
        <v>4</v>
      </c>
      <c r="C20" s="7">
        <v>11</v>
      </c>
      <c r="D20" s="21" t="s">
        <v>22</v>
      </c>
      <c r="E20" s="8" t="s">
        <v>7</v>
      </c>
      <c r="F20" s="30">
        <v>45173</v>
      </c>
      <c r="G20" s="30">
        <v>45379</v>
      </c>
      <c r="H20" s="34"/>
      <c r="I20" s="3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7" t="str">
        <f t="shared" si="7"/>
        <v>EV-01307</v>
      </c>
      <c r="B21" s="7">
        <v>4</v>
      </c>
      <c r="C21" s="7">
        <v>12</v>
      </c>
      <c r="D21" s="21" t="s">
        <v>23</v>
      </c>
      <c r="E21" s="8" t="s">
        <v>3</v>
      </c>
      <c r="F21" s="30">
        <v>45382</v>
      </c>
      <c r="G21" s="30">
        <v>45442</v>
      </c>
      <c r="H21" s="34"/>
      <c r="I21" s="3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>
      <c r="A22" s="7" t="str">
        <f t="shared" si="7"/>
        <v>EV-01307</v>
      </c>
      <c r="B22" s="7">
        <v>5</v>
      </c>
      <c r="C22" s="7">
        <v>13</v>
      </c>
      <c r="D22" s="21" t="s">
        <v>24</v>
      </c>
      <c r="E22" s="8" t="s">
        <v>8</v>
      </c>
      <c r="F22" s="30">
        <v>45451</v>
      </c>
      <c r="G22" s="30">
        <v>45545</v>
      </c>
      <c r="H22" s="34"/>
      <c r="I22" s="3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>
      <c r="A23" s="7" t="str">
        <f t="shared" si="7"/>
        <v>EV-01307</v>
      </c>
      <c r="B23" s="7">
        <v>5</v>
      </c>
      <c r="C23" s="7">
        <v>14</v>
      </c>
      <c r="D23" s="21" t="s">
        <v>25</v>
      </c>
      <c r="E23" s="8" t="s">
        <v>9</v>
      </c>
      <c r="F23" s="30">
        <v>45537</v>
      </c>
      <c r="G23" s="30">
        <v>45802</v>
      </c>
      <c r="H23" s="34"/>
      <c r="I23" s="3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>
      <c r="A24" s="7" t="str">
        <f t="shared" si="7"/>
        <v>EV-01307</v>
      </c>
      <c r="B24" s="7">
        <v>6</v>
      </c>
      <c r="C24" s="7">
        <v>15</v>
      </c>
      <c r="D24" s="21" t="s">
        <v>26</v>
      </c>
      <c r="E24" s="8" t="s">
        <v>10</v>
      </c>
      <c r="F24" s="30">
        <v>45527</v>
      </c>
      <c r="G24" s="30">
        <v>45742</v>
      </c>
      <c r="H24" s="34"/>
      <c r="I24" s="3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>
      <c r="A25" s="7" t="str">
        <f t="shared" si="7"/>
        <v>EV-01307</v>
      </c>
      <c r="B25" s="7">
        <v>7</v>
      </c>
      <c r="C25" s="7">
        <v>16</v>
      </c>
      <c r="D25" s="21" t="s">
        <v>27</v>
      </c>
      <c r="E25" s="8" t="s">
        <v>11</v>
      </c>
      <c r="F25" s="30">
        <v>45815</v>
      </c>
      <c r="G25" s="30">
        <v>45989</v>
      </c>
      <c r="H25" s="34"/>
      <c r="I25" s="3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>
      <c r="A26" s="7" t="s">
        <v>30</v>
      </c>
      <c r="B26" s="7">
        <v>1</v>
      </c>
      <c r="C26" s="7">
        <v>1</v>
      </c>
      <c r="D26" s="21" t="s">
        <v>45</v>
      </c>
      <c r="E26" s="8"/>
      <c r="F26" s="30"/>
      <c r="G26" s="30"/>
      <c r="H26" s="34"/>
      <c r="I26" s="3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>
      <c r="A27" s="7" t="str">
        <f t="shared" ref="A27:A29" si="8">A26</f>
        <v>EV-XXXX</v>
      </c>
      <c r="B27" s="7">
        <v>1</v>
      </c>
      <c r="C27" s="7">
        <v>2</v>
      </c>
      <c r="D27" s="21" t="s">
        <v>46</v>
      </c>
      <c r="E27" s="8"/>
      <c r="F27" s="30"/>
      <c r="G27" s="30"/>
      <c r="H27" s="34"/>
      <c r="I27" s="3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>
      <c r="A28" s="7" t="str">
        <f t="shared" si="8"/>
        <v>EV-XXXX</v>
      </c>
      <c r="B28" s="7">
        <v>2</v>
      </c>
      <c r="C28" s="7">
        <v>3</v>
      </c>
      <c r="D28" s="21" t="s">
        <v>47</v>
      </c>
      <c r="E28" s="8"/>
      <c r="F28" s="30"/>
      <c r="G28" s="30"/>
      <c r="H28" s="34"/>
      <c r="I28" s="3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>
      <c r="A29" s="7" t="str">
        <f t="shared" si="8"/>
        <v>EV-XXXX</v>
      </c>
      <c r="B29" s="7">
        <v>2</v>
      </c>
      <c r="C29" s="7">
        <v>4</v>
      </c>
      <c r="D29" s="21" t="s">
        <v>48</v>
      </c>
      <c r="E29" s="8"/>
      <c r="F29" s="30"/>
      <c r="G29" s="30"/>
      <c r="H29" s="34"/>
      <c r="I29" s="3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>
      <c r="A30" s="7" t="s">
        <v>31</v>
      </c>
      <c r="B30" s="7">
        <v>1</v>
      </c>
      <c r="C30" s="7">
        <v>1</v>
      </c>
      <c r="D30" s="21" t="s">
        <v>49</v>
      </c>
      <c r="E30" s="8"/>
      <c r="F30" s="30"/>
      <c r="G30" s="30"/>
      <c r="H30" s="34"/>
      <c r="I30" s="3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>
      <c r="A31" s="7" t="str">
        <f>A30</f>
        <v>EV-YYYY</v>
      </c>
      <c r="B31" s="7">
        <v>2</v>
      </c>
      <c r="C31" s="7">
        <v>2</v>
      </c>
      <c r="D31" s="21" t="s">
        <v>50</v>
      </c>
      <c r="E31" s="8"/>
      <c r="F31" s="30"/>
      <c r="G31" s="30"/>
      <c r="H31" s="34"/>
      <c r="I31" s="3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>
      <c r="A32" s="7" t="str">
        <f t="shared" ref="A32:A33" si="9">A31</f>
        <v>EV-YYYY</v>
      </c>
      <c r="B32" s="7">
        <v>2</v>
      </c>
      <c r="C32" s="7">
        <v>3</v>
      </c>
      <c r="D32" s="21" t="s">
        <v>51</v>
      </c>
      <c r="E32" s="8"/>
      <c r="F32" s="30"/>
      <c r="G32" s="30"/>
      <c r="H32" s="34"/>
      <c r="I32" s="3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>
      <c r="A33" s="7" t="str">
        <f t="shared" si="9"/>
        <v>EV-YYYY</v>
      </c>
      <c r="B33" s="7">
        <v>2</v>
      </c>
      <c r="C33" s="7">
        <v>4</v>
      </c>
      <c r="D33" s="21" t="s">
        <v>52</v>
      </c>
      <c r="E33" s="8"/>
      <c r="F33" s="30"/>
      <c r="G33" s="30"/>
      <c r="H33" s="34"/>
      <c r="I33" s="3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Definicoes</vt:lpstr>
      <vt:lpstr>Projeto</vt:lpstr>
      <vt:lpstr>Equipe</vt:lpstr>
      <vt:lpstr>AlocacaoEquipe</vt:lpstr>
      <vt:lpstr>Atividades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Leizer Schnitman</dc:creator>
  <cp:lastModifiedBy>Rafael Valadao</cp:lastModifiedBy>
  <dcterms:created xsi:type="dcterms:W3CDTF">2025-10-07T12:12:51Z</dcterms:created>
  <dcterms:modified xsi:type="dcterms:W3CDTF">2025-11-30T14:14:06Z</dcterms:modified>
</cp:coreProperties>
</file>